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_personal\ScratchAddons\addons\debugger\timing\"/>
    </mc:Choice>
  </mc:AlternateContent>
  <xr:revisionPtr revIDLastSave="0" documentId="13_ncr:1_{992E9259-F305-46BC-AE1A-052C1E1C3221}" xr6:coauthVersionLast="47" xr6:coauthVersionMax="47" xr10:uidLastSave="{00000000-0000-0000-0000-000000000000}"/>
  <bookViews>
    <workbookView xWindow="-103" yWindow="-103" windowWidth="22149" windowHeight="11829" xr2:uid="{00000000-000D-0000-FFFF-FFFF00000000}"/>
  </bookViews>
  <sheets>
    <sheet name="Instructions" sheetId="6" r:id="rId1"/>
    <sheet name="Data Collected" sheetId="1" r:id="rId2"/>
    <sheet name="RTC table" sheetId="2" r:id="rId3"/>
    <sheet name="O(N) ops" sheetId="5" r:id="rId4"/>
    <sheet name="RTC table (opcode)" sheetId="3" r:id="rId5"/>
    <sheet name="RTC table (formatted)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6" i="3" l="1"/>
  <c r="C57" i="3"/>
  <c r="C58" i="3"/>
  <c r="C59" i="3"/>
  <c r="C60" i="3"/>
  <c r="C62" i="3"/>
  <c r="C63" i="3"/>
  <c r="C64" i="3"/>
  <c r="C65" i="3"/>
  <c r="C66" i="3"/>
  <c r="C67" i="3"/>
  <c r="C68" i="3"/>
  <c r="C80" i="3"/>
  <c r="C82" i="3"/>
  <c r="F168" i="1" a="1"/>
  <c r="F155" i="1" a="1"/>
  <c r="F165" i="1" a="1"/>
  <c r="F142" i="1" a="1"/>
  <c r="F148" i="1" a="1"/>
  <c r="F144" i="1" a="1"/>
  <c r="F156" i="1" a="1"/>
  <c r="F163" i="1" a="1"/>
  <c r="F141" i="1" a="1"/>
  <c r="F122" i="1" a="1"/>
  <c r="F161" i="1" a="1"/>
  <c r="F152" i="1" a="1"/>
  <c r="F162" i="1" a="1"/>
  <c r="F154" i="1" a="1"/>
  <c r="F121" i="1" a="1"/>
  <c r="F158" i="1" a="1"/>
  <c r="F166" i="1" a="1"/>
  <c r="F153" i="1" a="1"/>
  <c r="F171" i="1" a="1"/>
  <c r="F172" i="1" a="1"/>
  <c r="F160" i="1" a="1"/>
  <c r="F167" i="1" a="1"/>
  <c r="F147" i="1" a="1"/>
  <c r="F149" i="1" a="1"/>
  <c r="F159" i="1" a="1"/>
  <c r="F146" i="1" a="1"/>
  <c r="F145" i="1" a="1"/>
  <c r="F157" i="1" a="1"/>
  <c r="F164" i="1" a="1"/>
  <c r="F143" i="1" a="1"/>
  <c r="F173" i="1" a="1"/>
  <c r="F150" i="1" a="1"/>
  <c r="F169" i="1" a="1"/>
  <c r="F170" i="1" a="1"/>
  <c r="F151" i="1" a="1"/>
  <c r="F120" i="1" a="1"/>
  <c r="F170" i="1" l="1"/>
  <c r="H170" i="1" s="1" a="1"/>
  <c r="H170" i="1" s="1"/>
  <c r="F169" i="1"/>
  <c r="H169" i="1" s="1" a="1"/>
  <c r="H169" i="1" s="1"/>
  <c r="F172" i="1"/>
  <c r="H172" i="1" s="1" a="1"/>
  <c r="H172" i="1" s="1"/>
  <c r="F171" i="1"/>
  <c r="H171" i="1" s="1" a="1"/>
  <c r="H171" i="1" s="1"/>
  <c r="F173" i="1"/>
  <c r="H173" i="1" s="1" a="1"/>
  <c r="H173" i="1" s="1"/>
  <c r="F168" i="1"/>
  <c r="H168" i="1" s="1" a="1"/>
  <c r="H168" i="1" s="1"/>
  <c r="F167" i="1"/>
  <c r="H167" i="1" s="1" a="1"/>
  <c r="H167" i="1" s="1"/>
  <c r="F164" i="1"/>
  <c r="H164" i="1" s="1" a="1"/>
  <c r="H164" i="1" s="1"/>
  <c r="F154" i="1"/>
  <c r="H154" i="1" s="1" a="1"/>
  <c r="H154" i="1" s="1"/>
  <c r="F144" i="1"/>
  <c r="H144" i="1" s="1" a="1"/>
  <c r="H144" i="1" s="1"/>
  <c r="F157" i="1"/>
  <c r="H157" i="1" s="1" a="1"/>
  <c r="H157" i="1" s="1"/>
  <c r="F147" i="1"/>
  <c r="H147" i="1" s="1" a="1"/>
  <c r="H147" i="1" s="1"/>
  <c r="F160" i="1"/>
  <c r="H160" i="1" s="1" a="1"/>
  <c r="H160" i="1" s="1"/>
  <c r="F150" i="1"/>
  <c r="H150" i="1" s="1" a="1"/>
  <c r="H150" i="1" s="1"/>
  <c r="F163" i="1"/>
  <c r="H163" i="1" s="1" a="1"/>
  <c r="H163" i="1" s="1"/>
  <c r="F153" i="1"/>
  <c r="H153" i="1" s="1" a="1"/>
  <c r="H153" i="1" s="1"/>
  <c r="F143" i="1"/>
  <c r="H143" i="1" s="1" a="1"/>
  <c r="H143" i="1" s="1"/>
  <c r="F166" i="1"/>
  <c r="H166" i="1" s="1" a="1"/>
  <c r="H166" i="1" s="1"/>
  <c r="F156" i="1"/>
  <c r="H156" i="1" s="1" a="1"/>
  <c r="H156" i="1" s="1"/>
  <c r="F146" i="1"/>
  <c r="H146" i="1" s="1" a="1"/>
  <c r="H146" i="1" s="1"/>
  <c r="F159" i="1"/>
  <c r="H159" i="1" s="1" a="1"/>
  <c r="H159" i="1" s="1"/>
  <c r="F149" i="1"/>
  <c r="H149" i="1" s="1" a="1"/>
  <c r="H149" i="1" s="1"/>
  <c r="F162" i="1"/>
  <c r="H162" i="1" s="1" a="1"/>
  <c r="H162" i="1" s="1"/>
  <c r="F152" i="1"/>
  <c r="H152" i="1" s="1" a="1"/>
  <c r="H152" i="1" s="1"/>
  <c r="F142" i="1"/>
  <c r="H142" i="1" s="1" a="1"/>
  <c r="H142" i="1" s="1"/>
  <c r="F165" i="1"/>
  <c r="H165" i="1" s="1" a="1"/>
  <c r="H165" i="1" s="1"/>
  <c r="F155" i="1"/>
  <c r="H155" i="1" s="1" a="1"/>
  <c r="H155" i="1" s="1"/>
  <c r="F145" i="1"/>
  <c r="H145" i="1" s="1" a="1"/>
  <c r="H145" i="1" s="1"/>
  <c r="F158" i="1"/>
  <c r="H158" i="1" s="1" a="1"/>
  <c r="H158" i="1" s="1"/>
  <c r="F148" i="1"/>
  <c r="H148" i="1" s="1" a="1"/>
  <c r="H148" i="1" s="1"/>
  <c r="F161" i="1"/>
  <c r="H161" i="1" s="1" a="1"/>
  <c r="H161" i="1" s="1"/>
  <c r="F151" i="1"/>
  <c r="H151" i="1" s="1" a="1"/>
  <c r="H151" i="1" s="1"/>
  <c r="F141" i="1"/>
  <c r="H141" i="1" s="1" a="1"/>
  <c r="H141" i="1" s="1"/>
  <c r="F122" i="1"/>
  <c r="H122" i="1" s="1" a="1"/>
  <c r="H122" i="1" s="1"/>
  <c r="F121" i="1"/>
  <c r="H121" i="1" s="1" a="1"/>
  <c r="H121" i="1" s="1"/>
  <c r="F120" i="1"/>
  <c r="M9" i="1"/>
  <c r="H120" i="1" l="1" a="1"/>
  <c r="H120" i="1" s="1"/>
  <c r="F127" i="1" a="1"/>
  <c r="F24" i="1" a="1"/>
  <c r="F37" i="1" a="1"/>
  <c r="F60" i="1" a="1"/>
  <c r="F4" i="1" a="1"/>
  <c r="F7" i="1" a="1"/>
  <c r="F17" i="1" a="1"/>
  <c r="F40" i="1" a="1"/>
  <c r="F49" i="1" a="1"/>
  <c r="F5" i="1" a="1"/>
  <c r="F61" i="1" a="1"/>
  <c r="F44" i="1" a="1"/>
  <c r="F18" i="1" a="1"/>
  <c r="F123" i="1" a="1"/>
  <c r="F22" i="1" a="1"/>
  <c r="F84" i="1" a="1"/>
  <c r="F88" i="1" a="1"/>
  <c r="F80" i="1" a="1"/>
  <c r="F34" i="1" a="1"/>
  <c r="F128" i="1" a="1"/>
  <c r="F16" i="1" a="1"/>
  <c r="F54" i="1" a="1"/>
  <c r="F12" i="1" a="1"/>
  <c r="F33" i="1" a="1"/>
  <c r="F69" i="1" a="1"/>
  <c r="F104" i="1" a="1"/>
  <c r="F95" i="1" a="1"/>
  <c r="F21" i="1" a="1"/>
  <c r="F26" i="1" a="1"/>
  <c r="F75" i="1" a="1"/>
  <c r="F50" i="1" a="1"/>
  <c r="F136" i="1" a="1"/>
  <c r="F94" i="1" a="1"/>
  <c r="F28" i="1" a="1"/>
  <c r="F8" i="1" a="1"/>
  <c r="F20" i="1" a="1"/>
  <c r="F38" i="1" a="1"/>
  <c r="F125" i="1" a="1"/>
  <c r="F51" i="1" a="1"/>
  <c r="F29" i="1" a="1"/>
  <c r="F118" i="1" a="1"/>
  <c r="F6" i="1" a="1"/>
  <c r="F140" i="1" a="1"/>
  <c r="F78" i="1" a="1"/>
  <c r="F19" i="1" a="1"/>
  <c r="F93" i="1" a="1"/>
  <c r="F107" i="1" a="1"/>
  <c r="F14" i="1" a="1"/>
  <c r="F87" i="1" a="1"/>
  <c r="F134" i="1" a="1"/>
  <c r="F133" i="1" a="1"/>
  <c r="F115" i="1" a="1"/>
  <c r="F62" i="1" a="1"/>
  <c r="F53" i="1" a="1"/>
  <c r="F131" i="1" a="1"/>
  <c r="F109" i="1" a="1"/>
  <c r="F56" i="1" a="1"/>
  <c r="F10" i="1" a="1"/>
  <c r="F117" i="1" a="1"/>
  <c r="F43" i="1" a="1"/>
  <c r="F90" i="1" a="1"/>
  <c r="F52" i="1" a="1"/>
  <c r="F65" i="1" a="1"/>
  <c r="F25" i="1" a="1"/>
  <c r="F100" i="1" a="1"/>
  <c r="F102" i="1" a="1"/>
  <c r="F135" i="1" a="1"/>
  <c r="F112" i="1" a="1"/>
  <c r="F77" i="1" a="1"/>
  <c r="F138" i="1" a="1"/>
  <c r="F97" i="1" a="1"/>
  <c r="F36" i="1" a="1"/>
  <c r="F47" i="1" a="1"/>
  <c r="F55" i="1" a="1"/>
  <c r="F63" i="1" a="1"/>
  <c r="F11" i="1" a="1"/>
  <c r="F70" i="1" a="1"/>
  <c r="F66" i="1" a="1"/>
  <c r="F68" i="1" a="1"/>
  <c r="F126" i="1" a="1"/>
  <c r="F48" i="1" a="1"/>
  <c r="F98" i="1" a="1"/>
  <c r="F71" i="1" a="1"/>
  <c r="F30" i="1" a="1"/>
  <c r="F57" i="1" a="1"/>
  <c r="F103" i="1" a="1"/>
  <c r="F72" i="1" a="1"/>
  <c r="F108" i="1" a="1"/>
  <c r="F114" i="1" a="1"/>
  <c r="F32" i="1" a="1"/>
  <c r="F15" i="1" a="1"/>
  <c r="F46" i="1" a="1"/>
  <c r="F81" i="1" a="1"/>
  <c r="F91" i="1" a="1"/>
  <c r="F82" i="1" a="1"/>
  <c r="F137" i="1" a="1"/>
  <c r="F74" i="1" a="1"/>
  <c r="F129" i="1" a="1"/>
  <c r="F76" i="1" a="1"/>
  <c r="F79" i="1" a="1"/>
  <c r="F64" i="1" a="1"/>
  <c r="F73" i="1" a="1"/>
  <c r="F2" i="1" a="1"/>
  <c r="F130" i="1" a="1"/>
  <c r="F106" i="1" a="1"/>
  <c r="F124" i="1" a="1"/>
  <c r="F59" i="1" a="1"/>
  <c r="F9" i="1" a="1"/>
  <c r="F42" i="1" a="1"/>
  <c r="F85" i="1" a="1"/>
  <c r="F39" i="1" a="1"/>
  <c r="F45" i="1" a="1"/>
  <c r="F83" i="1" a="1"/>
  <c r="F31" i="1" a="1"/>
  <c r="F96" i="1" a="1"/>
  <c r="F101" i="1" a="1"/>
  <c r="F116" i="1" a="1"/>
  <c r="F111" i="1" a="1"/>
  <c r="F92" i="1" a="1"/>
  <c r="F105" i="1" a="1"/>
  <c r="F110" i="1" a="1"/>
  <c r="F89" i="1" a="1"/>
  <c r="F119" i="1" a="1"/>
  <c r="F35" i="1" a="1"/>
  <c r="F86" i="1" a="1"/>
  <c r="F41" i="1" a="1"/>
  <c r="F3" i="1" a="1"/>
  <c r="F132" i="1" a="1"/>
  <c r="F113" i="1" a="1"/>
  <c r="F23" i="1" a="1"/>
  <c r="F67" i="1" a="1"/>
  <c r="F99" i="1" a="1"/>
  <c r="F139" i="1" a="1"/>
  <c r="F13" i="1" a="1"/>
  <c r="F58" i="1" a="1"/>
  <c r="F27" i="1" a="1"/>
  <c r="F61" i="1" l="1"/>
  <c r="H61" i="1" s="1" a="1"/>
  <c r="H61" i="1" s="1"/>
  <c r="F98" i="1"/>
  <c r="H98" i="1" s="1" a="1"/>
  <c r="H98" i="1" s="1"/>
  <c r="F3" i="1"/>
  <c r="H3" i="1" s="1" a="1"/>
  <c r="H3" i="1" s="1"/>
  <c r="F68" i="1"/>
  <c r="H68" i="1" s="1" a="1"/>
  <c r="H68" i="1" s="1"/>
  <c r="F20" i="1"/>
  <c r="H20" i="1" s="1" a="1"/>
  <c r="H20" i="1" s="1"/>
  <c r="F16" i="1"/>
  <c r="H16" i="1" s="1" a="1"/>
  <c r="H16" i="1" s="1"/>
  <c r="F44" i="1"/>
  <c r="H44" i="1" s="1" a="1"/>
  <c r="H44" i="1" s="1"/>
  <c r="F116" i="1"/>
  <c r="H116" i="1" s="1" a="1"/>
  <c r="H116" i="1" s="1"/>
  <c r="F42" i="1"/>
  <c r="H42" i="1" s="1" a="1"/>
  <c r="H42" i="1" s="1"/>
  <c r="F77" i="1"/>
  <c r="H77" i="1" s="1" a="1"/>
  <c r="H77" i="1" s="1"/>
  <c r="F66" i="1"/>
  <c r="H66" i="1" s="1" a="1"/>
  <c r="H66" i="1" s="1"/>
  <c r="F85" i="1"/>
  <c r="H85" i="1" s="1" a="1"/>
  <c r="H85" i="1" s="1"/>
  <c r="F25" i="1"/>
  <c r="H25" i="1" s="1" a="1"/>
  <c r="H25" i="1" s="1"/>
  <c r="F57" i="1"/>
  <c r="H57" i="1" s="1" a="1"/>
  <c r="H57" i="1" s="1"/>
  <c r="F64" i="1"/>
  <c r="H64" i="1" s="1" a="1"/>
  <c r="H64" i="1" s="1"/>
  <c r="F101" i="1"/>
  <c r="H101" i="1" s="1" a="1"/>
  <c r="H101" i="1" s="1"/>
  <c r="F97" i="1"/>
  <c r="H97" i="1" s="1" a="1"/>
  <c r="H97" i="1" s="1"/>
  <c r="F37" i="1"/>
  <c r="H37" i="1" s="1" a="1"/>
  <c r="H37" i="1" s="1"/>
  <c r="F56" i="1"/>
  <c r="H56" i="1" s="1" a="1"/>
  <c r="H56" i="1" s="1"/>
  <c r="F139" i="1"/>
  <c r="H139" i="1" s="1" a="1"/>
  <c r="H139" i="1" s="1"/>
  <c r="F4" i="1"/>
  <c r="H4" i="1" s="1" a="1"/>
  <c r="H4" i="1" s="1"/>
  <c r="F40" i="1"/>
  <c r="H40" i="1" s="1" a="1"/>
  <c r="H40" i="1" s="1"/>
  <c r="F105" i="1"/>
  <c r="H105" i="1" s="1" a="1"/>
  <c r="H105" i="1" s="1"/>
  <c r="F12" i="1"/>
  <c r="H12" i="1" s="1" a="1"/>
  <c r="H12" i="1" s="1"/>
  <c r="F89" i="1"/>
  <c r="H89" i="1" s="1" a="1"/>
  <c r="H89" i="1" s="1"/>
  <c r="F18" i="1"/>
  <c r="H18" i="1" s="1" a="1"/>
  <c r="H18" i="1" s="1"/>
  <c r="F7" i="1"/>
  <c r="H7" i="1" s="1" a="1"/>
  <c r="H7" i="1" s="1"/>
  <c r="F79" i="1"/>
  <c r="H79" i="1" s="1" a="1"/>
  <c r="H79" i="1" s="1"/>
  <c r="F104" i="1"/>
  <c r="H104" i="1" s="1" a="1"/>
  <c r="H104" i="1" s="1"/>
  <c r="F118" i="1"/>
  <c r="H118" i="1" s="1" a="1"/>
  <c r="H118" i="1" s="1"/>
  <c r="F93" i="1"/>
  <c r="H93" i="1" s="1" a="1"/>
  <c r="H93" i="1" s="1"/>
  <c r="F84" i="1"/>
  <c r="H84" i="1" s="1" a="1"/>
  <c r="H84" i="1" s="1"/>
  <c r="F48" i="1"/>
  <c r="H48" i="1" s="1" a="1"/>
  <c r="H48" i="1" s="1"/>
  <c r="F47" i="1"/>
  <c r="H47" i="1" s="1" a="1"/>
  <c r="H47" i="1" s="1"/>
  <c r="F33" i="1"/>
  <c r="H33" i="1" s="1" a="1"/>
  <c r="H33" i="1" s="1"/>
  <c r="F15" i="1"/>
  <c r="H15" i="1" s="1" a="1"/>
  <c r="H15" i="1" s="1"/>
  <c r="F13" i="1"/>
  <c r="H13" i="1" s="1" a="1"/>
  <c r="H13" i="1" s="1"/>
  <c r="F124" i="1"/>
  <c r="H124" i="1" s="1" a="1"/>
  <c r="H124" i="1" s="1"/>
  <c r="F34" i="1"/>
  <c r="H34" i="1" s="1" a="1"/>
  <c r="H34" i="1" s="1"/>
  <c r="F113" i="1"/>
  <c r="H113" i="1" s="1" a="1"/>
  <c r="H113" i="1" s="1"/>
  <c r="F117" i="1"/>
  <c r="H117" i="1" s="1" a="1"/>
  <c r="H117" i="1" s="1"/>
  <c r="F137" i="1"/>
  <c r="H137" i="1" s="1" a="1"/>
  <c r="H137" i="1" s="1"/>
  <c r="F29" i="1"/>
  <c r="H29" i="1" s="1" a="1"/>
  <c r="H29" i="1" s="1"/>
  <c r="F38" i="1"/>
  <c r="H38" i="1" s="1" a="1"/>
  <c r="H38" i="1" s="1"/>
  <c r="F94" i="1"/>
  <c r="H94" i="1" s="1" a="1"/>
  <c r="H94" i="1" s="1"/>
  <c r="F17" i="1"/>
  <c r="H17" i="1" s="1" a="1"/>
  <c r="H17" i="1" s="1"/>
  <c r="F41" i="1"/>
  <c r="H41" i="1" s="1" a="1"/>
  <c r="H41" i="1" s="1"/>
  <c r="F127" i="1"/>
  <c r="H127" i="1" s="1" a="1"/>
  <c r="H127" i="1" s="1"/>
  <c r="F74" i="1"/>
  <c r="H74" i="1" s="1" a="1"/>
  <c r="H74" i="1" s="1"/>
  <c r="F128" i="1"/>
  <c r="H128" i="1" s="1" a="1"/>
  <c r="H128" i="1" s="1"/>
  <c r="F9" i="1"/>
  <c r="H9" i="1" s="1" a="1"/>
  <c r="H9" i="1" s="1"/>
  <c r="F115" i="1"/>
  <c r="H115" i="1" s="1" a="1"/>
  <c r="H115" i="1" s="1"/>
  <c r="F59" i="1"/>
  <c r="H59" i="1" s="1" a="1"/>
  <c r="H59" i="1" s="1"/>
  <c r="F106" i="1"/>
  <c r="H106" i="1" s="1" a="1"/>
  <c r="H106" i="1" s="1"/>
  <c r="F92" i="1"/>
  <c r="H92" i="1" s="1" a="1"/>
  <c r="H92" i="1" s="1"/>
  <c r="F138" i="1"/>
  <c r="H138" i="1" s="1" a="1"/>
  <c r="H138" i="1" s="1"/>
  <c r="F119" i="1"/>
  <c r="H119" i="1" s="1" a="1"/>
  <c r="H119" i="1" s="1"/>
  <c r="F45" i="1"/>
  <c r="H45" i="1" s="1" a="1"/>
  <c r="H45" i="1" s="1"/>
  <c r="F82" i="1"/>
  <c r="H82" i="1" s="1" a="1"/>
  <c r="H82" i="1" s="1"/>
  <c r="F55" i="1"/>
  <c r="H55" i="1" s="1" a="1"/>
  <c r="H55" i="1" s="1"/>
  <c r="F112" i="1"/>
  <c r="H112" i="1" s="1" a="1"/>
  <c r="H112" i="1" s="1"/>
  <c r="F52" i="1"/>
  <c r="H52" i="1" s="1" a="1"/>
  <c r="H52" i="1" s="1"/>
  <c r="F114" i="1"/>
  <c r="H114" i="1" s="1" a="1"/>
  <c r="H114" i="1" s="1"/>
  <c r="F62" i="1"/>
  <c r="H62" i="1" s="1" a="1"/>
  <c r="H62" i="1" s="1"/>
  <c r="F130" i="1"/>
  <c r="H130" i="1" s="1" a="1"/>
  <c r="H130" i="1" s="1"/>
  <c r="F23" i="1"/>
  <c r="H23" i="1" s="1" a="1"/>
  <c r="H23" i="1" s="1"/>
  <c r="F49" i="1"/>
  <c r="H49" i="1" s="1" a="1"/>
  <c r="H49" i="1" s="1"/>
  <c r="F19" i="1"/>
  <c r="H19" i="1" s="1" a="1"/>
  <c r="H19" i="1" s="1"/>
  <c r="F75" i="1"/>
  <c r="H75" i="1" s="1" a="1"/>
  <c r="H75" i="1" s="1"/>
  <c r="F110" i="1"/>
  <c r="H110" i="1" s="1" a="1"/>
  <c r="H110" i="1" s="1"/>
  <c r="F8" i="1"/>
  <c r="H8" i="1" s="1" a="1"/>
  <c r="H8" i="1" s="1"/>
  <c r="F28" i="1"/>
  <c r="H28" i="1" s="1" a="1"/>
  <c r="H28" i="1" s="1"/>
  <c r="F87" i="1"/>
  <c r="H87" i="1" s="1" a="1"/>
  <c r="H87" i="1" s="1"/>
  <c r="F6" i="1"/>
  <c r="H6" i="1" s="1" a="1"/>
  <c r="H6" i="1" s="1"/>
  <c r="F76" i="1"/>
  <c r="H76" i="1" s="1" a="1"/>
  <c r="H76" i="1" s="1"/>
  <c r="F51" i="1"/>
  <c r="H51" i="1" s="1" a="1"/>
  <c r="H51" i="1" s="1"/>
  <c r="F111" i="1"/>
  <c r="H111" i="1" s="1" a="1"/>
  <c r="H111" i="1" s="1"/>
  <c r="F131" i="1"/>
  <c r="H131" i="1" s="1" a="1"/>
  <c r="H131" i="1" s="1"/>
  <c r="F60" i="1"/>
  <c r="H60" i="1" s="1" a="1"/>
  <c r="H60" i="1" s="1"/>
  <c r="F140" i="1"/>
  <c r="H140" i="1" s="1" a="1"/>
  <c r="H140" i="1" s="1"/>
  <c r="F125" i="1"/>
  <c r="H125" i="1" s="1" a="1"/>
  <c r="H125" i="1" s="1"/>
  <c r="F100" i="1"/>
  <c r="H100" i="1" s="1" a="1"/>
  <c r="H100" i="1" s="1"/>
  <c r="F11" i="1"/>
  <c r="H11" i="1" s="1" a="1"/>
  <c r="H11" i="1" s="1"/>
  <c r="F83" i="1"/>
  <c r="H83" i="1" s="1" a="1"/>
  <c r="H83" i="1" s="1"/>
  <c r="F72" i="1"/>
  <c r="H72" i="1" s="1" a="1"/>
  <c r="H72" i="1" s="1"/>
  <c r="F78" i="1"/>
  <c r="H78" i="1" s="1" a="1"/>
  <c r="H78" i="1" s="1"/>
  <c r="F69" i="1"/>
  <c r="H69" i="1" s="1" a="1"/>
  <c r="H69" i="1" s="1"/>
  <c r="F103" i="1"/>
  <c r="H103" i="1" s="1" a="1"/>
  <c r="H103" i="1" s="1"/>
  <c r="F26" i="1"/>
  <c r="H26" i="1" s="1" a="1"/>
  <c r="H26" i="1" s="1"/>
  <c r="F80" i="1"/>
  <c r="H80" i="1" s="1" a="1"/>
  <c r="H80" i="1" s="1"/>
  <c r="F27" i="1"/>
  <c r="H27" i="1" s="1" a="1"/>
  <c r="H27" i="1" s="1"/>
  <c r="F129" i="1"/>
  <c r="H129" i="1" s="1" a="1"/>
  <c r="H129" i="1" s="1"/>
  <c r="F32" i="1"/>
  <c r="H32" i="1" s="1" a="1"/>
  <c r="H32" i="1" s="1"/>
  <c r="F134" i="1"/>
  <c r="H134" i="1" s="1" a="1"/>
  <c r="H134" i="1" s="1"/>
  <c r="F96" i="1"/>
  <c r="H96" i="1" s="1" a="1"/>
  <c r="H96" i="1" s="1"/>
  <c r="F81" i="1"/>
  <c r="H81" i="1" s="1" a="1"/>
  <c r="H81" i="1" s="1"/>
  <c r="F22" i="1"/>
  <c r="H22" i="1" s="1" a="1"/>
  <c r="H22" i="1" s="1"/>
  <c r="F2" i="1"/>
  <c r="H2" i="1" s="1" a="1"/>
  <c r="H2" i="1" s="1"/>
  <c r="F50" i="1"/>
  <c r="H50" i="1" s="1" a="1"/>
  <c r="H50" i="1" s="1"/>
  <c r="F24" i="1"/>
  <c r="H24" i="1" s="1" a="1"/>
  <c r="H24" i="1" s="1"/>
  <c r="F91" i="1"/>
  <c r="H91" i="1" s="1" a="1"/>
  <c r="H91" i="1" s="1"/>
  <c r="F46" i="1"/>
  <c r="H46" i="1" s="1" a="1"/>
  <c r="H46" i="1" s="1"/>
  <c r="F43" i="1"/>
  <c r="H43" i="1" s="1" a="1"/>
  <c r="H43" i="1" s="1"/>
  <c r="F63" i="1"/>
  <c r="H63" i="1" s="1" a="1"/>
  <c r="H63" i="1" s="1"/>
  <c r="F133" i="1"/>
  <c r="H133" i="1" s="1" a="1"/>
  <c r="H133" i="1" s="1"/>
  <c r="F99" i="1"/>
  <c r="H99" i="1" s="1" a="1"/>
  <c r="H99" i="1" s="1"/>
  <c r="F35" i="1"/>
  <c r="H35" i="1" s="1" a="1"/>
  <c r="H35" i="1" s="1"/>
  <c r="F95" i="1"/>
  <c r="H95" i="1" s="1" a="1"/>
  <c r="H95" i="1" s="1"/>
  <c r="F123" i="1"/>
  <c r="H123" i="1" s="1" a="1"/>
  <c r="H123" i="1" s="1"/>
  <c r="F108" i="1"/>
  <c r="H108" i="1" s="1" a="1"/>
  <c r="H108" i="1" s="1"/>
  <c r="F67" i="1"/>
  <c r="H67" i="1" s="1" a="1"/>
  <c r="H67" i="1" s="1"/>
  <c r="F73" i="1"/>
  <c r="H73" i="1" s="1" a="1"/>
  <c r="H73" i="1" s="1"/>
  <c r="F65" i="1"/>
  <c r="H65" i="1" s="1" a="1"/>
  <c r="H65" i="1" s="1"/>
  <c r="F21" i="1"/>
  <c r="H21" i="1" s="1" a="1"/>
  <c r="H21" i="1" s="1"/>
  <c r="F132" i="1"/>
  <c r="H132" i="1" s="1" a="1"/>
  <c r="H132" i="1" s="1"/>
  <c r="F30" i="1"/>
  <c r="H30" i="1" s="1" a="1"/>
  <c r="H30" i="1" s="1"/>
  <c r="F136" i="1"/>
  <c r="H136" i="1" s="1" a="1"/>
  <c r="H136" i="1" s="1"/>
  <c r="F102" i="1"/>
  <c r="H102" i="1" s="1" a="1"/>
  <c r="H102" i="1" s="1"/>
  <c r="F71" i="1"/>
  <c r="H71" i="1" s="1" a="1"/>
  <c r="H71" i="1" s="1"/>
  <c r="F10" i="1"/>
  <c r="H10" i="1" s="1" a="1"/>
  <c r="H10" i="1" s="1"/>
  <c r="F88" i="1"/>
  <c r="H88" i="1" s="1" a="1"/>
  <c r="H88" i="1" s="1"/>
  <c r="F5" i="1"/>
  <c r="H5" i="1" s="1" a="1"/>
  <c r="H5" i="1" s="1"/>
  <c r="F126" i="1"/>
  <c r="H126" i="1" s="1" a="1"/>
  <c r="H126" i="1" s="1"/>
  <c r="F90" i="1"/>
  <c r="H90" i="1" s="1" a="1"/>
  <c r="H90" i="1" s="1"/>
  <c r="F135" i="1"/>
  <c r="H135" i="1" s="1" a="1"/>
  <c r="H135" i="1" s="1"/>
  <c r="F107" i="1"/>
  <c r="H107" i="1" s="1" a="1"/>
  <c r="H107" i="1" s="1"/>
  <c r="F86" i="1"/>
  <c r="H86" i="1" s="1" a="1"/>
  <c r="H86" i="1" s="1"/>
  <c r="F54" i="1"/>
  <c r="H54" i="1" s="1" a="1"/>
  <c r="H54" i="1" s="1"/>
  <c r="F31" i="1"/>
  <c r="H31" i="1" s="1" a="1"/>
  <c r="H31" i="1" s="1"/>
  <c r="F14" i="1"/>
  <c r="H14" i="1" s="1" a="1"/>
  <c r="H14" i="1" s="1"/>
  <c r="F58" i="1"/>
  <c r="H58" i="1" s="1" a="1"/>
  <c r="H58" i="1" s="1"/>
  <c r="F39" i="1"/>
  <c r="H39" i="1" s="1" a="1"/>
  <c r="H39" i="1" s="1"/>
  <c r="F109" i="1"/>
  <c r="H109" i="1" s="1" a="1"/>
  <c r="H109" i="1" s="1"/>
  <c r="F53" i="1"/>
  <c r="H53" i="1" s="1" a="1"/>
  <c r="H53" i="1" s="1"/>
  <c r="F70" i="1"/>
  <c r="H70" i="1" s="1" a="1"/>
  <c r="H70" i="1" s="1"/>
  <c r="F36" i="1"/>
  <c r="H36" i="1" s="1" a="1"/>
  <c r="H36" i="1" s="1"/>
  <c r="N3" i="1" l="1"/>
  <c r="I112" i="1" s="1"/>
  <c r="K112" i="1" s="1"/>
  <c r="I111" i="1" l="1"/>
  <c r="K111" i="1" s="1"/>
  <c r="I114" i="1"/>
  <c r="K114" i="1" s="1"/>
  <c r="I113" i="1"/>
  <c r="K113" i="1" s="1"/>
  <c r="I110" i="1"/>
  <c r="K110" i="1" s="1"/>
  <c r="I83" i="1"/>
  <c r="K83" i="1" s="1"/>
  <c r="I143" i="1"/>
  <c r="K143" i="1" s="1"/>
  <c r="N4" i="1"/>
  <c r="I159" i="1" s="1"/>
  <c r="K159" i="1" s="1"/>
  <c r="I43" i="1"/>
  <c r="K43" i="1" s="1"/>
  <c r="I57" i="1"/>
  <c r="K57" i="1" s="1"/>
  <c r="I56" i="1"/>
  <c r="K56" i="1" s="1"/>
  <c r="I61" i="1"/>
  <c r="K61" i="1" s="1"/>
  <c r="I141" i="1"/>
  <c r="K141" i="1" s="1"/>
  <c r="I82" i="1"/>
  <c r="K82" i="1" s="1"/>
  <c r="I81" i="1"/>
  <c r="K81" i="1" s="1"/>
  <c r="I80" i="1"/>
  <c r="K80" i="1" s="1"/>
  <c r="I90" i="1"/>
  <c r="K90" i="1" s="1"/>
  <c r="I70" i="1"/>
  <c r="K70" i="1" s="1"/>
  <c r="I89" i="1"/>
  <c r="K89" i="1" s="1"/>
  <c r="I69" i="1"/>
  <c r="K69" i="1" s="1"/>
  <c r="I88" i="1"/>
  <c r="K88" i="1" s="1"/>
  <c r="I123" i="1"/>
  <c r="K123" i="1" s="1"/>
  <c r="I122" i="1"/>
  <c r="K122" i="1" s="1"/>
  <c r="I121" i="1"/>
  <c r="K121" i="1" s="1"/>
  <c r="I145" i="1"/>
  <c r="K145" i="1" s="1"/>
  <c r="I144" i="1"/>
  <c r="K144" i="1" s="1"/>
  <c r="I79" i="1"/>
  <c r="K79" i="1" s="1"/>
  <c r="I55" i="1"/>
  <c r="K55" i="1" s="1"/>
  <c r="I142" i="1"/>
  <c r="K142" i="1" s="1"/>
  <c r="I54" i="1"/>
  <c r="K54" i="1" s="1"/>
  <c r="I151" i="1"/>
  <c r="K151" i="1" s="1"/>
  <c r="I53" i="1"/>
  <c r="K53" i="1" s="1"/>
  <c r="I146" i="1"/>
  <c r="K146" i="1" s="1"/>
  <c r="I85" i="1"/>
  <c r="K85" i="1" s="1"/>
  <c r="I148" i="1"/>
  <c r="K148" i="1" s="1"/>
  <c r="I152" i="1"/>
  <c r="K152" i="1" s="1"/>
  <c r="I78" i="1"/>
  <c r="K78" i="1" s="1"/>
  <c r="I67" i="1"/>
  <c r="K67" i="1" s="1"/>
  <c r="I96" i="1"/>
  <c r="K96" i="1" s="1"/>
  <c r="I52" i="1"/>
  <c r="K52" i="1" s="1"/>
  <c r="I149" i="1"/>
  <c r="K149" i="1" s="1"/>
  <c r="I75" i="1"/>
  <c r="K75" i="1" s="1"/>
  <c r="I84" i="1"/>
  <c r="K84" i="1" s="1"/>
  <c r="I48" i="1"/>
  <c r="K48" i="1" s="1"/>
  <c r="I73" i="1"/>
  <c r="K73" i="1" s="1"/>
  <c r="I86" i="1"/>
  <c r="K86" i="1" s="1"/>
  <c r="I66" i="1"/>
  <c r="K66" i="1" s="1"/>
  <c r="I95" i="1"/>
  <c r="K95" i="1" s="1"/>
  <c r="I65" i="1"/>
  <c r="K65" i="1" s="1"/>
  <c r="I94" i="1"/>
  <c r="K94" i="1" s="1"/>
  <c r="I64" i="1"/>
  <c r="K64" i="1" s="1"/>
  <c r="I47" i="1"/>
  <c r="K47" i="1" s="1"/>
  <c r="I147" i="1"/>
  <c r="K147" i="1" s="1"/>
  <c r="I117" i="1"/>
  <c r="K117" i="1" s="1"/>
  <c r="I92" i="1"/>
  <c r="K92" i="1" s="1"/>
  <c r="I158" i="1"/>
  <c r="K158" i="1" s="1"/>
  <c r="I119" i="1"/>
  <c r="K119" i="1" s="1"/>
  <c r="I155" i="1"/>
  <c r="K155" i="1" s="1"/>
  <c r="I68" i="1"/>
  <c r="K68" i="1" s="1"/>
  <c r="I87" i="1"/>
  <c r="K87" i="1" s="1"/>
  <c r="I77" i="1"/>
  <c r="K77" i="1" s="1"/>
  <c r="I150" i="1"/>
  <c r="K150" i="1" s="1"/>
  <c r="I76" i="1"/>
  <c r="K76" i="1" s="1"/>
  <c r="I51" i="1"/>
  <c r="K51" i="1" s="1"/>
  <c r="I50" i="1"/>
  <c r="K50" i="1" s="1"/>
  <c r="I49" i="1"/>
  <c r="K49" i="1" s="1"/>
  <c r="I153" i="1"/>
  <c r="K153" i="1" s="1"/>
  <c r="I74" i="1"/>
  <c r="K74" i="1" s="1"/>
  <c r="I93" i="1"/>
  <c r="K93" i="1" s="1"/>
  <c r="I116" i="1"/>
  <c r="K116" i="1" s="1"/>
  <c r="I46" i="1"/>
  <c r="K46" i="1" s="1"/>
  <c r="I157" i="1"/>
  <c r="K157" i="1" s="1"/>
  <c r="I45" i="1"/>
  <c r="K45" i="1" s="1"/>
  <c r="I120" i="1"/>
  <c r="K120" i="1" s="1"/>
  <c r="I44" i="1"/>
  <c r="K44" i="1" s="1"/>
  <c r="I72" i="1"/>
  <c r="K72" i="1" s="1"/>
  <c r="I156" i="1"/>
  <c r="K156" i="1" s="1"/>
  <c r="I63" i="1"/>
  <c r="K63" i="1" s="1"/>
  <c r="I91" i="1"/>
  <c r="K91" i="1" s="1"/>
  <c r="I118" i="1"/>
  <c r="K118" i="1" s="1"/>
  <c r="I62" i="1"/>
  <c r="K62" i="1" s="1"/>
  <c r="I71" i="1"/>
  <c r="K71" i="1" s="1"/>
  <c r="I115" i="1"/>
  <c r="K115" i="1" s="1"/>
  <c r="I154" i="1"/>
  <c r="K154" i="1" s="1"/>
  <c r="I31" i="1" l="1"/>
  <c r="K31" i="1" s="1"/>
  <c r="I7" i="1"/>
  <c r="K7" i="1" s="1"/>
  <c r="I137" i="1"/>
  <c r="K137" i="1" s="1"/>
  <c r="I98" i="1"/>
  <c r="K98" i="1" s="1"/>
  <c r="I127" i="1"/>
  <c r="K127" i="1" s="1"/>
  <c r="I36" i="1"/>
  <c r="K36" i="1" s="1"/>
  <c r="I10" i="1"/>
  <c r="K10" i="1" s="1"/>
  <c r="I39" i="1"/>
  <c r="K39" i="1" s="1"/>
  <c r="I16" i="1"/>
  <c r="K16" i="1" s="1"/>
  <c r="I26" i="1"/>
  <c r="K26" i="1" s="1"/>
  <c r="I30" i="1"/>
  <c r="K30" i="1" s="1"/>
  <c r="I28" i="1"/>
  <c r="K28" i="1" s="1"/>
  <c r="I19" i="1"/>
  <c r="K19" i="1" s="1"/>
  <c r="I134" i="1"/>
  <c r="K134" i="1" s="1"/>
  <c r="I60" i="1"/>
  <c r="K60" i="1" s="1"/>
  <c r="I11" i="1"/>
  <c r="K11" i="1" s="1"/>
  <c r="I103" i="1"/>
  <c r="K103" i="1" s="1"/>
  <c r="I139" i="1"/>
  <c r="K139" i="1" s="1"/>
  <c r="N11" i="1"/>
  <c r="I131" i="1"/>
  <c r="K131" i="1" s="1"/>
  <c r="I35" i="1"/>
  <c r="K35" i="1" s="1"/>
  <c r="I17" i="1"/>
  <c r="K17" i="1" s="1"/>
  <c r="I135" i="1"/>
  <c r="K135" i="1" s="1"/>
  <c r="I33" i="1"/>
  <c r="K33" i="1" s="1"/>
  <c r="I9" i="1"/>
  <c r="K9" i="1" s="1"/>
  <c r="I100" i="1"/>
  <c r="K100" i="1" s="1"/>
  <c r="I104" i="1"/>
  <c r="K104" i="1" s="1"/>
  <c r="I163" i="1"/>
  <c r="K163" i="1" s="1"/>
  <c r="I14" i="1"/>
  <c r="K14" i="1" s="1"/>
  <c r="I37" i="1"/>
  <c r="K37" i="1" s="1"/>
  <c r="I3" i="1"/>
  <c r="K3" i="1" s="1"/>
  <c r="I160" i="1"/>
  <c r="K160" i="1" s="1"/>
  <c r="I129" i="1"/>
  <c r="K129" i="1" s="1"/>
  <c r="I166" i="1"/>
  <c r="K166" i="1" s="1"/>
  <c r="I6" i="1"/>
  <c r="K6" i="1" s="1"/>
  <c r="I27" i="1"/>
  <c r="K27" i="1" s="1"/>
  <c r="I106" i="1"/>
  <c r="K106" i="1" s="1"/>
  <c r="I162" i="1"/>
  <c r="K162" i="1" s="1"/>
  <c r="I128" i="1"/>
  <c r="K128" i="1" s="1"/>
  <c r="I138" i="1"/>
  <c r="K138" i="1" s="1"/>
  <c r="I164" i="1"/>
  <c r="K164" i="1" s="1"/>
  <c r="I21" i="1"/>
  <c r="K21" i="1" s="1"/>
  <c r="I5" i="1"/>
  <c r="K5" i="1" s="1"/>
  <c r="I165" i="1"/>
  <c r="K165" i="1" s="1"/>
  <c r="I124" i="1"/>
  <c r="K124" i="1" s="1"/>
  <c r="I130" i="1"/>
  <c r="K130" i="1" s="1"/>
  <c r="I24" i="1"/>
  <c r="K24" i="1" s="1"/>
  <c r="I105" i="1"/>
  <c r="K105" i="1" s="1"/>
  <c r="I38" i="1"/>
  <c r="K38" i="1" s="1"/>
  <c r="I32" i="1"/>
  <c r="K32" i="1" s="1"/>
  <c r="I109" i="1"/>
  <c r="K109" i="1" s="1"/>
  <c r="I161" i="1"/>
  <c r="K161" i="1" s="1"/>
  <c r="I101" i="1"/>
  <c r="K101" i="1" s="1"/>
  <c r="I171" i="1"/>
  <c r="K171" i="1" s="1"/>
  <c r="I15" i="1"/>
  <c r="K15" i="1" s="1"/>
  <c r="I34" i="1"/>
  <c r="K34" i="1" s="1"/>
  <c r="I41" i="1"/>
  <c r="K41" i="1" s="1"/>
  <c r="I173" i="1"/>
  <c r="K173" i="1" s="1"/>
  <c r="I8" i="1"/>
  <c r="K8" i="1" s="1"/>
  <c r="I20" i="1"/>
  <c r="K20" i="1" s="1"/>
  <c r="I40" i="1"/>
  <c r="K40" i="1" s="1"/>
  <c r="I125" i="1"/>
  <c r="K125" i="1" s="1"/>
  <c r="I132" i="1"/>
  <c r="K132" i="1" s="1"/>
  <c r="I107" i="1"/>
  <c r="K107" i="1" s="1"/>
  <c r="I99" i="1"/>
  <c r="K99" i="1" s="1"/>
  <c r="I23" i="1"/>
  <c r="K23" i="1" s="1"/>
  <c r="I22" i="1"/>
  <c r="K22" i="1" s="1"/>
  <c r="I18" i="1"/>
  <c r="K18" i="1" s="1"/>
  <c r="I167" i="1"/>
  <c r="K167" i="1" s="1"/>
  <c r="I42" i="1"/>
  <c r="K42" i="1" s="1"/>
  <c r="I13" i="1"/>
  <c r="K13" i="1" s="1"/>
  <c r="I168" i="1"/>
  <c r="K168" i="1" s="1"/>
  <c r="I29" i="1"/>
  <c r="K29" i="1" s="1"/>
  <c r="I140" i="1"/>
  <c r="K140" i="1" s="1"/>
  <c r="I170" i="1"/>
  <c r="K170" i="1" s="1"/>
  <c r="I108" i="1"/>
  <c r="K108" i="1" s="1"/>
  <c r="I25" i="1"/>
  <c r="K25" i="1" s="1"/>
  <c r="I136" i="1"/>
  <c r="K136" i="1" s="1"/>
  <c r="I59" i="1"/>
  <c r="K59" i="1" s="1"/>
  <c r="I169" i="1"/>
  <c r="K169" i="1" s="1"/>
  <c r="I126" i="1"/>
  <c r="K126" i="1" s="1"/>
  <c r="I102" i="1"/>
  <c r="K102" i="1" s="1"/>
  <c r="I12" i="1"/>
  <c r="K12" i="1" s="1"/>
  <c r="I58" i="1"/>
  <c r="K58" i="1" s="1"/>
  <c r="I172" i="1"/>
  <c r="K172" i="1" s="1"/>
  <c r="I97" i="1"/>
  <c r="K97" i="1" s="1"/>
  <c r="I4" i="1"/>
  <c r="K4" i="1" s="1"/>
  <c r="I133" i="1"/>
  <c r="K133" i="1" s="1"/>
  <c r="I2" i="1"/>
  <c r="K2" i="1" s="1"/>
  <c r="A2" i="2" l="1" a="1"/>
  <c r="C155" i="2" s="1" a="1"/>
  <c r="C155" i="2" s="1"/>
  <c r="B2" i="2" a="1"/>
  <c r="B2" i="2" s="1"/>
  <c r="C123" i="2" l="1" a="1"/>
  <c r="C123" i="2" s="1"/>
  <c r="C91" i="2" a="1"/>
  <c r="C91" i="2" s="1"/>
  <c r="C32" i="2" a="1"/>
  <c r="C32" i="2" s="1"/>
  <c r="C81" i="2" a="1"/>
  <c r="C81" i="2" s="1"/>
  <c r="C51" i="2" a="1"/>
  <c r="C51" i="2" s="1"/>
  <c r="C21" i="2" a="1"/>
  <c r="C21" i="2" s="1"/>
  <c r="C130" i="2" a="1"/>
  <c r="C130" i="2" s="1"/>
  <c r="C118" i="2" a="1"/>
  <c r="C118" i="2" s="1"/>
  <c r="C144" i="2" a="1"/>
  <c r="C144" i="2" s="1"/>
  <c r="C58" i="2" a="1"/>
  <c r="C58" i="2" s="1"/>
  <c r="C22" i="2" a="1"/>
  <c r="C22" i="2" s="1"/>
  <c r="C48" i="2" a="1"/>
  <c r="C48" i="2" s="1"/>
  <c r="C143" i="2" a="1"/>
  <c r="C143" i="2" s="1"/>
  <c r="C18" i="2" a="1"/>
  <c r="C18" i="2" s="1"/>
  <c r="C82" i="2" a="1"/>
  <c r="C82" i="2" s="1"/>
  <c r="C113" i="2" a="1"/>
  <c r="C113" i="2" s="1"/>
  <c r="C101" i="2" a="1"/>
  <c r="C101" i="2" s="1"/>
  <c r="C120" i="2" a="1"/>
  <c r="C120" i="2" s="1"/>
  <c r="C80" i="2" a="1"/>
  <c r="C80" i="2" s="1"/>
  <c r="C35" i="2" a="1"/>
  <c r="C35" i="2" s="1"/>
  <c r="C110" i="2" a="1"/>
  <c r="C110" i="2" s="1"/>
  <c r="C138" i="2" a="1"/>
  <c r="C138" i="2" s="1"/>
  <c r="C5" i="2" a="1"/>
  <c r="C5" i="2" s="1"/>
  <c r="C78" i="2" a="1"/>
  <c r="C78" i="2" s="1"/>
  <c r="C124" i="2" a="1"/>
  <c r="C124" i="2" s="1"/>
  <c r="C114" i="2" a="1"/>
  <c r="C114" i="2" s="1"/>
  <c r="C104" i="2" a="1"/>
  <c r="C104" i="2" s="1"/>
  <c r="C28" i="2" a="1"/>
  <c r="C28" i="2" s="1"/>
  <c r="C133" i="2" a="1"/>
  <c r="C133" i="2" s="1"/>
  <c r="C147" i="2" a="1"/>
  <c r="C147" i="2" s="1"/>
  <c r="C16" i="2" a="1"/>
  <c r="C16" i="2" s="1"/>
  <c r="C132" i="2" a="1"/>
  <c r="C132" i="2" s="1"/>
  <c r="C137" i="2" a="1"/>
  <c r="C137" i="2" s="1"/>
  <c r="C6" i="2" a="1"/>
  <c r="C6" i="2" s="1"/>
  <c r="C42" i="2" a="1"/>
  <c r="C42" i="2" s="1"/>
  <c r="C27" i="2" a="1"/>
  <c r="C27" i="2" s="1"/>
  <c r="C11" i="2" a="1"/>
  <c r="C11" i="2" s="1"/>
  <c r="C103" i="2" a="1"/>
  <c r="C103" i="2" s="1"/>
  <c r="C63" i="2" a="1"/>
  <c r="C63" i="2" s="1"/>
  <c r="C41" i="2" a="1"/>
  <c r="C41" i="2" s="1"/>
  <c r="C140" i="2" a="1"/>
  <c r="C140" i="2" s="1"/>
  <c r="C15" i="2" a="1"/>
  <c r="C15" i="2" s="1"/>
  <c r="C128" i="2" a="1"/>
  <c r="C128" i="2" s="1"/>
  <c r="C108" i="2" a="1"/>
  <c r="C108" i="2" s="1"/>
  <c r="C88" i="2" a="1"/>
  <c r="C88" i="2" s="1"/>
  <c r="C68" i="2" a="1"/>
  <c r="C68" i="2" s="1"/>
  <c r="C142" i="2" a="1"/>
  <c r="C142" i="2" s="1"/>
  <c r="C146" i="2" a="1"/>
  <c r="C146" i="2" s="1"/>
  <c r="C141" i="2" a="1"/>
  <c r="C141" i="2" s="1"/>
  <c r="C71" i="2" a="1"/>
  <c r="C71" i="2" s="1"/>
  <c r="C61" i="2" a="1"/>
  <c r="C61" i="2" s="1"/>
  <c r="C40" i="2" a="1"/>
  <c r="C40" i="2" s="1"/>
  <c r="C25" i="2" a="1"/>
  <c r="C25" i="2" s="1"/>
  <c r="C148" i="2" a="1"/>
  <c r="C148" i="2" s="1"/>
  <c r="C98" i="2" a="1"/>
  <c r="C98" i="2" s="1"/>
  <c r="C134" i="2" a="1"/>
  <c r="C134" i="2" s="1"/>
  <c r="A2" i="2"/>
  <c r="C2" i="2" s="1" a="1"/>
  <c r="C2" i="2" s="1"/>
  <c r="C38" i="2" a="1"/>
  <c r="C38" i="2" s="1"/>
  <c r="C8" i="2" a="1"/>
  <c r="C8" i="2" s="1"/>
  <c r="C92" i="2" a="1"/>
  <c r="C92" i="2" s="1"/>
  <c r="C136" i="2" a="1"/>
  <c r="C136" i="2" s="1"/>
  <c r="C102" i="2" a="1"/>
  <c r="C102" i="2" s="1"/>
  <c r="C17" i="2" a="1"/>
  <c r="C17" i="2" s="1"/>
  <c r="C70" i="2" a="1"/>
  <c r="C70" i="2" s="1"/>
  <c r="C93" i="2" a="1"/>
  <c r="C93" i="2" s="1"/>
  <c r="C151" i="2" a="1"/>
  <c r="C151" i="2" s="1"/>
  <c r="C7" i="2" a="1"/>
  <c r="C7" i="2" s="1"/>
  <c r="C83" i="2" a="1"/>
  <c r="C83" i="2" s="1"/>
  <c r="C150" i="2" a="1"/>
  <c r="C150" i="2" s="1"/>
  <c r="C30" i="2" a="1"/>
  <c r="C30" i="2" s="1"/>
  <c r="C31" i="2" a="1"/>
  <c r="C31" i="2" s="1"/>
  <c r="C73" i="2" a="1"/>
  <c r="C73" i="2" s="1"/>
  <c r="C90" i="2" a="1"/>
  <c r="C90" i="2" s="1"/>
  <c r="C126" i="2" a="1"/>
  <c r="C126" i="2" s="1"/>
  <c r="C145" i="2" a="1"/>
  <c r="C145" i="2" s="1"/>
  <c r="C94" i="2" a="1"/>
  <c r="C94" i="2" s="1"/>
  <c r="C53" i="2" a="1"/>
  <c r="C53" i="2" s="1"/>
  <c r="C12" i="2" a="1"/>
  <c r="C12" i="2" s="1"/>
  <c r="C100" i="2" a="1"/>
  <c r="C100" i="2" s="1"/>
  <c r="C127" i="2" a="1"/>
  <c r="C127" i="2" s="1"/>
  <c r="C50" i="2" a="1"/>
  <c r="C50" i="2" s="1"/>
  <c r="C116" i="2" a="1"/>
  <c r="C116" i="2" s="1"/>
  <c r="C135" i="2" a="1"/>
  <c r="C135" i="2" s="1"/>
  <c r="C84" i="2" a="1"/>
  <c r="C84" i="2" s="1"/>
  <c r="C43" i="2" a="1"/>
  <c r="C43" i="2" s="1"/>
  <c r="C131" i="2" a="1"/>
  <c r="C131" i="2" s="1"/>
  <c r="C60" i="2" a="1"/>
  <c r="C60" i="2" s="1"/>
  <c r="C117" i="2" a="1"/>
  <c r="C117" i="2" s="1"/>
  <c r="C10" i="2" a="1"/>
  <c r="C10" i="2" s="1"/>
  <c r="C106" i="2" a="1"/>
  <c r="C106" i="2" s="1"/>
  <c r="C125" i="2" a="1"/>
  <c r="C125" i="2" s="1"/>
  <c r="C74" i="2" a="1"/>
  <c r="C74" i="2" s="1"/>
  <c r="C33" i="2" a="1"/>
  <c r="C33" i="2" s="1"/>
  <c r="C72" i="2" a="1"/>
  <c r="C72" i="2" s="1"/>
  <c r="C20" i="2" a="1"/>
  <c r="C20" i="2" s="1"/>
  <c r="C107" i="2" a="1"/>
  <c r="C107" i="2" s="1"/>
  <c r="C149" i="2" a="1"/>
  <c r="C149" i="2" s="1"/>
  <c r="C96" i="2" a="1"/>
  <c r="C96" i="2" s="1"/>
  <c r="C115" i="2" a="1"/>
  <c r="C115" i="2" s="1"/>
  <c r="C64" i="2" a="1"/>
  <c r="C64" i="2" s="1"/>
  <c r="C23" i="2" a="1"/>
  <c r="C23" i="2" s="1"/>
  <c r="C122" i="2" a="1"/>
  <c r="C122" i="2" s="1"/>
  <c r="C139" i="2" a="1"/>
  <c r="C139" i="2" s="1"/>
  <c r="C97" i="2" a="1"/>
  <c r="C97" i="2" s="1"/>
  <c r="C129" i="2" a="1"/>
  <c r="C129" i="2" s="1"/>
  <c r="C86" i="2" a="1"/>
  <c r="C86" i="2" s="1"/>
  <c r="C105" i="2" a="1"/>
  <c r="C105" i="2" s="1"/>
  <c r="C54" i="2" a="1"/>
  <c r="C54" i="2" s="1"/>
  <c r="C13" i="2" a="1"/>
  <c r="C13" i="2" s="1"/>
  <c r="C62" i="2" a="1"/>
  <c r="C62" i="2" s="1"/>
  <c r="C119" i="2" a="1"/>
  <c r="C119" i="2" s="1"/>
  <c r="C87" i="2" a="1"/>
  <c r="C87" i="2" s="1"/>
  <c r="C109" i="2" a="1"/>
  <c r="C109" i="2" s="1"/>
  <c r="C76" i="2" a="1"/>
  <c r="C76" i="2" s="1"/>
  <c r="C95" i="2" a="1"/>
  <c r="C95" i="2" s="1"/>
  <c r="C44" i="2" a="1"/>
  <c r="C44" i="2" s="1"/>
  <c r="C3" i="2" a="1"/>
  <c r="C3" i="2" s="1"/>
  <c r="C121" i="2" a="1"/>
  <c r="C121" i="2" s="1"/>
  <c r="C99" i="2" a="1"/>
  <c r="C99" i="2" s="1"/>
  <c r="C77" i="2" a="1"/>
  <c r="C77" i="2" s="1"/>
  <c r="C89" i="2" a="1"/>
  <c r="C89" i="2" s="1"/>
  <c r="C66" i="2" a="1"/>
  <c r="C66" i="2" s="1"/>
  <c r="C85" i="2" a="1"/>
  <c r="C85" i="2" s="1"/>
  <c r="C34" i="2" a="1"/>
  <c r="C34" i="2" s="1"/>
  <c r="C154" i="2" a="1"/>
  <c r="C154" i="2" s="1"/>
  <c r="C112" i="2" a="1"/>
  <c r="C112" i="2" s="1"/>
  <c r="C79" i="2" a="1"/>
  <c r="C79" i="2" s="1"/>
  <c r="C67" i="2" a="1"/>
  <c r="C67" i="2" s="1"/>
  <c r="C69" i="2" a="1"/>
  <c r="C69" i="2" s="1"/>
  <c r="C56" i="2" a="1"/>
  <c r="C56" i="2" s="1"/>
  <c r="C75" i="2" a="1"/>
  <c r="C75" i="2" s="1"/>
  <c r="C24" i="2" a="1"/>
  <c r="C24" i="2" s="1"/>
  <c r="C158" i="2" a="1"/>
  <c r="C158" i="2" s="1"/>
  <c r="C52" i="2" a="1"/>
  <c r="C52" i="2" s="1"/>
  <c r="C59" i="2" a="1"/>
  <c r="C59" i="2" s="1"/>
  <c r="C57" i="2" a="1"/>
  <c r="C57" i="2" s="1"/>
  <c r="C49" i="2" a="1"/>
  <c r="C49" i="2" s="1"/>
  <c r="C46" i="2" a="1"/>
  <c r="C46" i="2" s="1"/>
  <c r="C65" i="2" a="1"/>
  <c r="C65" i="2" s="1"/>
  <c r="C14" i="2" a="1"/>
  <c r="C14" i="2" s="1"/>
  <c r="C157" i="2" a="1"/>
  <c r="C157" i="2" s="1"/>
  <c r="C111" i="2" a="1"/>
  <c r="C111" i="2" s="1"/>
  <c r="C39" i="2" a="1"/>
  <c r="C39" i="2" s="1"/>
  <c r="C47" i="2" a="1"/>
  <c r="C47" i="2" s="1"/>
  <c r="C29" i="2" a="1"/>
  <c r="C29" i="2" s="1"/>
  <c r="C36" i="2" a="1"/>
  <c r="C36" i="2" s="1"/>
  <c r="C55" i="2" a="1"/>
  <c r="C55" i="2" s="1"/>
  <c r="C4" i="2" a="1"/>
  <c r="C4" i="2" s="1"/>
  <c r="C156" i="2" a="1"/>
  <c r="C156" i="2" s="1"/>
  <c r="C152" i="2" a="1"/>
  <c r="C152" i="2" s="1"/>
  <c r="C19" i="2" a="1"/>
  <c r="C19" i="2" s="1"/>
  <c r="C37" i="2" a="1"/>
  <c r="C37" i="2" s="1"/>
  <c r="C9" i="2" a="1"/>
  <c r="C9" i="2" s="1"/>
  <c r="C26" i="2" a="1"/>
  <c r="C26" i="2" s="1"/>
  <c r="C45" i="2" a="1"/>
  <c r="C45" i="2" s="1"/>
  <c r="C153" i="2" a="1"/>
  <c r="C153" i="2" s="1"/>
  <c r="C151" i="3"/>
  <c r="C5" i="3"/>
  <c r="C8" i="3"/>
  <c r="C122" i="3"/>
  <c r="C144" i="3" l="1"/>
  <c r="C133" i="3"/>
  <c r="C32" i="3"/>
  <c r="C116" i="3"/>
  <c r="C141" i="3"/>
  <c r="C6" i="3"/>
  <c r="C143" i="3"/>
  <c r="C44" i="3"/>
  <c r="C150" i="3"/>
  <c r="C15" i="3"/>
  <c r="C2" i="3"/>
  <c r="C134" i="3"/>
  <c r="C115" i="3"/>
  <c r="C90" i="3"/>
  <c r="C114" i="3"/>
  <c r="C34" i="3"/>
  <c r="C147" i="3"/>
  <c r="C12" i="3"/>
  <c r="C36" i="3"/>
  <c r="C129" i="3"/>
  <c r="C41" i="3"/>
  <c r="C45" i="3"/>
  <c r="C123" i="3"/>
  <c r="C138" i="3"/>
  <c r="C35" i="3"/>
  <c r="C46" i="3"/>
  <c r="C77" i="3"/>
  <c r="C14" i="3"/>
  <c r="C95" i="3"/>
  <c r="C18" i="3"/>
  <c r="C137" i="3"/>
  <c r="C81" i="3"/>
  <c r="C113" i="3"/>
  <c r="C40" i="3"/>
  <c r="C17" i="3"/>
  <c r="C49" i="3"/>
  <c r="C16" i="3"/>
  <c r="C28" i="3"/>
  <c r="C86" i="3"/>
  <c r="C108" i="3"/>
  <c r="C43" i="3"/>
  <c r="C19" i="3"/>
  <c r="C146" i="3"/>
  <c r="C163" i="3"/>
  <c r="C53" i="3"/>
  <c r="C79" i="3"/>
  <c r="C31" i="3"/>
  <c r="C132" i="3"/>
  <c r="C148" i="3"/>
  <c r="C88" i="3"/>
  <c r="C25" i="3"/>
  <c r="C24" i="3"/>
  <c r="C157" i="3"/>
  <c r="C27" i="3"/>
  <c r="C130" i="3"/>
  <c r="C87" i="3"/>
  <c r="C3" i="3"/>
  <c r="C101" i="3"/>
  <c r="C29" i="3"/>
  <c r="C107" i="3"/>
  <c r="C22" i="3"/>
  <c r="C120" i="3"/>
  <c r="C75" i="3"/>
  <c r="C140" i="3"/>
  <c r="C135" i="3"/>
  <c r="C89" i="3"/>
  <c r="C162" i="3"/>
  <c r="C99" i="3"/>
  <c r="C78" i="3"/>
  <c r="C149" i="3"/>
  <c r="C105" i="3"/>
  <c r="C42" i="3"/>
  <c r="C11" i="3"/>
  <c r="C145" i="3"/>
  <c r="C50" i="3"/>
  <c r="C118" i="3"/>
  <c r="C131" i="3"/>
  <c r="C26" i="3"/>
  <c r="C92" i="3"/>
  <c r="C100" i="3"/>
  <c r="C39" i="3"/>
  <c r="C76" i="3"/>
  <c r="C85" i="3"/>
  <c r="C96" i="3"/>
  <c r="C71" i="3"/>
  <c r="C128" i="3"/>
  <c r="C109" i="3"/>
  <c r="C126" i="3"/>
  <c r="C155" i="3"/>
  <c r="C84" i="3"/>
  <c r="C136" i="3"/>
  <c r="C33" i="3"/>
  <c r="C47" i="3"/>
  <c r="C160" i="3"/>
  <c r="C154" i="3"/>
  <c r="C119" i="3"/>
  <c r="C117" i="3"/>
  <c r="C110" i="3"/>
  <c r="C73" i="3"/>
  <c r="C93" i="3"/>
  <c r="C156" i="3"/>
  <c r="C23" i="3"/>
  <c r="C55" i="3"/>
  <c r="C10" i="3"/>
  <c r="C30" i="3"/>
  <c r="C139" i="3"/>
  <c r="C61" i="3"/>
  <c r="C4" i="3"/>
  <c r="C20" i="3"/>
  <c r="C158" i="3"/>
  <c r="C161" i="3"/>
  <c r="C69" i="3"/>
  <c r="C165" i="3"/>
  <c r="C103" i="3"/>
  <c r="C38" i="3"/>
  <c r="C51" i="3"/>
  <c r="C159" i="3"/>
  <c r="C104" i="3"/>
  <c r="C13" i="3"/>
  <c r="C125" i="3"/>
  <c r="C91" i="3"/>
  <c r="C37" i="3"/>
  <c r="C9" i="3"/>
  <c r="C94" i="3"/>
  <c r="C52" i="3"/>
  <c r="C121" i="3"/>
  <c r="C83" i="3"/>
  <c r="C54" i="3"/>
  <c r="C153" i="3"/>
  <c r="C152" i="3" s="1"/>
  <c r="C112" i="3"/>
  <c r="C106" i="3"/>
  <c r="C74" i="3"/>
  <c r="C142" i="3"/>
  <c r="C7" i="3"/>
  <c r="C72" i="3"/>
  <c r="C70" i="3"/>
  <c r="C48" i="3"/>
  <c r="C164" i="3"/>
  <c r="C102" i="3"/>
  <c r="C127" i="3"/>
  <c r="C98" i="3"/>
  <c r="C111" i="3"/>
  <c r="C97" i="3"/>
  <c r="C124" i="3"/>
  <c r="C2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<sst xmlns="http://schemas.openxmlformats.org/spreadsheetml/2006/main" count="692" uniqueCount="509">
  <si>
    <t>move</t>
  </si>
  <si>
    <t>turn</t>
  </si>
  <si>
    <t>go to</t>
  </si>
  <si>
    <t>go to xy</t>
  </si>
  <si>
    <t>point in direction</t>
  </si>
  <si>
    <t>point towards</t>
  </si>
  <si>
    <t>change x by</t>
  </si>
  <si>
    <t>set x to</t>
  </si>
  <si>
    <t>if on edge bounce</t>
  </si>
  <si>
    <t>set rotation style</t>
  </si>
  <si>
    <t>say</t>
  </si>
  <si>
    <t>think</t>
  </si>
  <si>
    <t>switch costume to</t>
  </si>
  <si>
    <t>next costume</t>
  </si>
  <si>
    <t>switch backdrop to</t>
  </si>
  <si>
    <t>next backdrop</t>
  </si>
  <si>
    <t>change size by</t>
  </si>
  <si>
    <t>set size to</t>
  </si>
  <si>
    <t>set colour effect</t>
  </si>
  <si>
    <t>set fisheye effect</t>
  </si>
  <si>
    <t>set whirl effect</t>
  </si>
  <si>
    <t>set pixelate effect</t>
  </si>
  <si>
    <t>set mosaic effect</t>
  </si>
  <si>
    <t>set brightness effect</t>
  </si>
  <si>
    <t>set ghost effect</t>
  </si>
  <si>
    <t>clear graphic effects</t>
  </si>
  <si>
    <t>show</t>
  </si>
  <si>
    <t>hide</t>
  </si>
  <si>
    <t>go to front</t>
  </si>
  <si>
    <t>go forward layers</t>
  </si>
  <si>
    <t>repeat</t>
  </si>
  <si>
    <t>if</t>
  </si>
  <si>
    <t>if else</t>
  </si>
  <si>
    <t>wait until</t>
  </si>
  <si>
    <t>repeat until</t>
  </si>
  <si>
    <t>create clone</t>
  </si>
  <si>
    <t>touching mouse pointer</t>
  </si>
  <si>
    <t>touching sprite</t>
  </si>
  <si>
    <t>touching edge</t>
  </si>
  <si>
    <t>key pressed?</t>
  </si>
  <si>
    <t>mouse down</t>
  </si>
  <si>
    <t>touching colour</t>
  </si>
  <si>
    <t>colour is touching</t>
  </si>
  <si>
    <t>+</t>
  </si>
  <si>
    <t>-</t>
  </si>
  <si>
    <t>*</t>
  </si>
  <si>
    <t>/</t>
  </si>
  <si>
    <t>&gt;</t>
  </si>
  <si>
    <t>&lt;</t>
  </si>
  <si>
    <t>=</t>
  </si>
  <si>
    <t>and</t>
  </si>
  <si>
    <t>or</t>
  </si>
  <si>
    <t>not</t>
  </si>
  <si>
    <t>join</t>
  </si>
  <si>
    <t>letter of</t>
  </si>
  <si>
    <t>length of</t>
  </si>
  <si>
    <t>string contains</t>
  </si>
  <si>
    <t>mod</t>
  </si>
  <si>
    <t>round</t>
  </si>
  <si>
    <t>abs</t>
  </si>
  <si>
    <t>floor</t>
  </si>
  <si>
    <t>ceiling</t>
  </si>
  <si>
    <t>sqrt</t>
  </si>
  <si>
    <t>sin</t>
  </si>
  <si>
    <t>cos</t>
  </si>
  <si>
    <t>tan</t>
  </si>
  <si>
    <t>asin</t>
  </si>
  <si>
    <t>acos</t>
  </si>
  <si>
    <t>atan</t>
  </si>
  <si>
    <t>ln</t>
  </si>
  <si>
    <t>log</t>
  </si>
  <si>
    <t>e^</t>
  </si>
  <si>
    <t>10^</t>
  </si>
  <si>
    <t>set var</t>
  </si>
  <si>
    <t>change var</t>
  </si>
  <si>
    <t>show var</t>
  </si>
  <si>
    <t>hide var</t>
  </si>
  <si>
    <t>list contents</t>
  </si>
  <si>
    <t>add to</t>
  </si>
  <si>
    <t>insert at</t>
  </si>
  <si>
    <t>replace item at</t>
  </si>
  <si>
    <t>show list</t>
  </si>
  <si>
    <t>hide list</t>
  </si>
  <si>
    <t>delete of</t>
  </si>
  <si>
    <t>delete all</t>
  </si>
  <si>
    <t>item of</t>
  </si>
  <si>
    <t>item num of</t>
  </si>
  <si>
    <t>length of list</t>
  </si>
  <si>
    <t>list contains?</t>
  </si>
  <si>
    <t>variable</t>
  </si>
  <si>
    <t>erase all</t>
  </si>
  <si>
    <t>stamp (vector)</t>
  </si>
  <si>
    <t>stamp (bitmap)</t>
  </si>
  <si>
    <t>pen down</t>
  </si>
  <si>
    <t>set pen colour to</t>
  </si>
  <si>
    <t>change pen colour by</t>
  </si>
  <si>
    <t>change pen size by</t>
  </si>
  <si>
    <t>set pen size to</t>
  </si>
  <si>
    <t>start sound</t>
  </si>
  <si>
    <t>custom block 6</t>
  </si>
  <si>
    <t>custom block 10</t>
  </si>
  <si>
    <t>broadcast</t>
  </si>
  <si>
    <t>broadcast and receive</t>
  </si>
  <si>
    <t>label</t>
  </si>
  <si>
    <t>Time</t>
  </si>
  <si>
    <t>Avg Time</t>
  </si>
  <si>
    <t>Ratio to Ctrl</t>
  </si>
  <si>
    <t>Call Count</t>
  </si>
  <si>
    <t>RTC</t>
  </si>
  <si>
    <t>Ratios</t>
  </si>
  <si>
    <t>Repeat Set: Sub</t>
  </si>
  <si>
    <t>Repeat:Repeat Set</t>
  </si>
  <si>
    <t>Repeat : Sub</t>
  </si>
  <si>
    <t>pen up</t>
  </si>
  <si>
    <t>custom block 0</t>
  </si>
  <si>
    <t>control (motion)</t>
  </si>
  <si>
    <t>control (control)</t>
  </si>
  <si>
    <t>control (control create clone)</t>
  </si>
  <si>
    <t>control (sensing non-colour)</t>
  </si>
  <si>
    <t>control (operators constant)</t>
  </si>
  <si>
    <t>control (variables non-reporter)</t>
  </si>
  <si>
    <t>control (variables reporter)</t>
  </si>
  <si>
    <t>control (variables read)</t>
  </si>
  <si>
    <t>control (pen)</t>
  </si>
  <si>
    <t>stop all sounds</t>
  </si>
  <si>
    <t>control (other)</t>
  </si>
  <si>
    <t>control (looks)</t>
  </si>
  <si>
    <t>control (sensing colour)</t>
  </si>
  <si>
    <t>Ctrl row idx</t>
  </si>
  <si>
    <t>Ratio</t>
  </si>
  <si>
    <t>Ratio ctrl to sub</t>
  </si>
  <si>
    <t>Multiplier</t>
  </si>
  <si>
    <t>&lt;-- hardcoded</t>
  </si>
  <si>
    <t>custom block variable</t>
  </si>
  <si>
    <t>motion_movesteps</t>
  </si>
  <si>
    <t>motion_turnright</t>
  </si>
  <si>
    <t>motion_turnleft</t>
  </si>
  <si>
    <t>motion_goto</t>
  </si>
  <si>
    <t>motion_gotoxy</t>
  </si>
  <si>
    <t>motion_glideto</t>
  </si>
  <si>
    <t>motion_glidesecstoxy</t>
  </si>
  <si>
    <t>motion_pointindirection</t>
  </si>
  <si>
    <t>motion_pointtowards</t>
  </si>
  <si>
    <t>motion_changexby</t>
  </si>
  <si>
    <t>motion_setx</t>
  </si>
  <si>
    <t>motion_changeyby</t>
  </si>
  <si>
    <t>motion_sety</t>
  </si>
  <si>
    <t>motion_ifonedgebounce</t>
  </si>
  <si>
    <t>motion_setrotationstyle</t>
  </si>
  <si>
    <t>motion_xposition</t>
  </si>
  <si>
    <t>motion_yposition</t>
  </si>
  <si>
    <t>motion_direction</t>
  </si>
  <si>
    <t>looks_sayforsecs</t>
  </si>
  <si>
    <t>looks_say</t>
  </si>
  <si>
    <t>looks_thinkforsecs</t>
  </si>
  <si>
    <t>looks_think</t>
  </si>
  <si>
    <t>looks_switchcostumeto</t>
  </si>
  <si>
    <t>looks_nextcostume</t>
  </si>
  <si>
    <t>looks_switchbackdropto</t>
  </si>
  <si>
    <t>looks_switchbackdroptoandwait</t>
  </si>
  <si>
    <t>looks_nextbackdrop</t>
  </si>
  <si>
    <t>looks_changesizeby</t>
  </si>
  <si>
    <t>looks_setsizeto</t>
  </si>
  <si>
    <t>looks_cleargraphiceffects</t>
  </si>
  <si>
    <t>looks_show</t>
  </si>
  <si>
    <t>looks_hide</t>
  </si>
  <si>
    <t>looks_gotofrontback</t>
  </si>
  <si>
    <t>looks_goforwardbackwardlayers</t>
  </si>
  <si>
    <t>looks_costumenumbername</t>
  </si>
  <si>
    <t>looks_backdropnumbername</t>
  </si>
  <si>
    <t>looks_size</t>
  </si>
  <si>
    <t>sound_playuntildone</t>
  </si>
  <si>
    <t>sound_play</t>
  </si>
  <si>
    <t>sound_stopallsounds</t>
  </si>
  <si>
    <t>sound_changeeffectby</t>
  </si>
  <si>
    <t>sound_seteffectto</t>
  </si>
  <si>
    <t>sound_cleareffects</t>
  </si>
  <si>
    <t>sound_changevolumeby</t>
  </si>
  <si>
    <t>sound_setvolumeto</t>
  </si>
  <si>
    <t>sound_volume</t>
  </si>
  <si>
    <t>event_whenflagclicked</t>
  </si>
  <si>
    <t>event_whenkeypressed</t>
  </si>
  <si>
    <t>event_whenthisspriteclicked</t>
  </si>
  <si>
    <t>event_whenstageclicked</t>
  </si>
  <si>
    <t>event_whenbackdropswitchesto</t>
  </si>
  <si>
    <t>event_whengreaterthan</t>
  </si>
  <si>
    <t>event_whenbroadcastreceived</t>
  </si>
  <si>
    <t>event_broadcast</t>
  </si>
  <si>
    <t>event_broadcastandwait</t>
  </si>
  <si>
    <t>control_wait</t>
  </si>
  <si>
    <t>control_repeat</t>
  </si>
  <si>
    <t>control_forever</t>
  </si>
  <si>
    <t>control_if</t>
  </si>
  <si>
    <t>control_if_else</t>
  </si>
  <si>
    <t>control_wait_until</t>
  </si>
  <si>
    <t>control_repeat_until</t>
  </si>
  <si>
    <t>control_stop</t>
  </si>
  <si>
    <t>control_start_as_clone</t>
  </si>
  <si>
    <t>control_create_clone_of</t>
  </si>
  <si>
    <t>control_delete_this_clone</t>
  </si>
  <si>
    <t>control_for_each</t>
  </si>
  <si>
    <t>sensing_touchingcolor</t>
  </si>
  <si>
    <t>sensing_coloristouchingcolor</t>
  </si>
  <si>
    <t>sensing_askandwait</t>
  </si>
  <si>
    <t>sensing_answer</t>
  </si>
  <si>
    <t>sensing_keypressed</t>
  </si>
  <si>
    <t>sensing_mousedown</t>
  </si>
  <si>
    <t>sensing_mousex</t>
  </si>
  <si>
    <t>sensing_mousey</t>
  </si>
  <si>
    <t>sensing_setdragmode</t>
  </si>
  <si>
    <t>sensing_loudness</t>
  </si>
  <si>
    <t>sensing_timer</t>
  </si>
  <si>
    <t>sensing_resettimer</t>
  </si>
  <si>
    <t>sensing_of</t>
  </si>
  <si>
    <t>sensing_current</t>
  </si>
  <si>
    <t>sensing_dayssince2000</t>
  </si>
  <si>
    <t>sensing_username</t>
  </si>
  <si>
    <t>operator_add</t>
  </si>
  <si>
    <t>operator_subtract</t>
  </si>
  <si>
    <t>operator_multiply</t>
  </si>
  <si>
    <t>operator_divide</t>
  </si>
  <si>
    <t>operator_random</t>
  </si>
  <si>
    <t>operator_gt</t>
  </si>
  <si>
    <t>operator_lt</t>
  </si>
  <si>
    <t>operator_equals</t>
  </si>
  <si>
    <t>operator_and</t>
  </si>
  <si>
    <t>operator_or</t>
  </si>
  <si>
    <t>operator_not</t>
  </si>
  <si>
    <t>operator_join</t>
  </si>
  <si>
    <t>operator_letter_of</t>
  </si>
  <si>
    <t>operator_length</t>
  </si>
  <si>
    <t>operator_contains</t>
  </si>
  <si>
    <t>operator_mod</t>
  </si>
  <si>
    <t>operator_round</t>
  </si>
  <si>
    <t>data_variable</t>
  </si>
  <si>
    <t>data_setvariableto</t>
  </si>
  <si>
    <t>data_changevariableby</t>
  </si>
  <si>
    <t>data_showvariable</t>
  </si>
  <si>
    <t>data_hidevariable</t>
  </si>
  <si>
    <t>data_listcontents</t>
  </si>
  <si>
    <t>data_addtolist</t>
  </si>
  <si>
    <t>data_deleteoflist</t>
  </si>
  <si>
    <t>data_deletealloflist</t>
  </si>
  <si>
    <t>data_insertatlist</t>
  </si>
  <si>
    <t>data_replaceitemoflist</t>
  </si>
  <si>
    <t>data_itemoflist</t>
  </si>
  <si>
    <t>data_itemnumoflist</t>
  </si>
  <si>
    <t>data_lengthoflist</t>
  </si>
  <si>
    <t>data_listcontainsitem</t>
  </si>
  <si>
    <t>data_showlist</t>
  </si>
  <si>
    <t>data_hidelist</t>
  </si>
  <si>
    <t>procedures_definition</t>
  </si>
  <si>
    <t>procedures_call</t>
  </si>
  <si>
    <t>pen_clear</t>
  </si>
  <si>
    <t>pen_penDown</t>
  </si>
  <si>
    <t>pen_penUp</t>
  </si>
  <si>
    <t>pen_setPenColorToColor</t>
  </si>
  <si>
    <t>pen_changePenColorParamBy</t>
  </si>
  <si>
    <t>pen_setPenColorParamTo</t>
  </si>
  <si>
    <t>pen_changePenSizeBy</t>
  </si>
  <si>
    <t>pen_setPenSizeTo</t>
  </si>
  <si>
    <t>x position</t>
  </si>
  <si>
    <t>looks_changeeffectby:color</t>
  </si>
  <si>
    <t>looks_seteffectto:color</t>
  </si>
  <si>
    <t>looks_changeeffectby:fisheye</t>
  </si>
  <si>
    <t>looks_seteffectto:fisheye</t>
  </si>
  <si>
    <t>looks_changeeffectby:whirl</t>
  </si>
  <si>
    <t>looks_seteffectto:whirl</t>
  </si>
  <si>
    <t>looks_changeeffectby:pixelate</t>
  </si>
  <si>
    <t>looks_seteffectto:pixelate</t>
  </si>
  <si>
    <t>looks_changeeffectby:mosaic</t>
  </si>
  <si>
    <t>looks_seteffectto:mosaic</t>
  </si>
  <si>
    <t>looks_changeeffectby:brightness</t>
  </si>
  <si>
    <t>looks_seteffectto:brightness</t>
  </si>
  <si>
    <t>looks_changeeffectby:ghost</t>
  </si>
  <si>
    <t>looks_seteffectto:ghost</t>
  </si>
  <si>
    <t>costume number</t>
  </si>
  <si>
    <t>size</t>
  </si>
  <si>
    <t>playuntildone</t>
  </si>
  <si>
    <t>play</t>
  </si>
  <si>
    <t>stopallsounds</t>
  </si>
  <si>
    <t>changeeffectby</t>
  </si>
  <si>
    <t>seteffectto</t>
  </si>
  <si>
    <t>cleareffects</t>
  </si>
  <si>
    <t>changevolumeby</t>
  </si>
  <si>
    <t>setvolumeto</t>
  </si>
  <si>
    <t>volume</t>
  </si>
  <si>
    <t>whenflagclicked</t>
  </si>
  <si>
    <t>whenkeypressed</t>
  </si>
  <si>
    <t>whenthisspriteclicked</t>
  </si>
  <si>
    <t>whenstageclicked</t>
  </si>
  <si>
    <t>for each</t>
  </si>
  <si>
    <t>sensing_touchingobject:mouse-pointer</t>
  </si>
  <si>
    <t>sensing_touchingobject:edge</t>
  </si>
  <si>
    <t>sensing_touchingobject:sprite</t>
  </si>
  <si>
    <t>sensing_distanceto:mouse-pointer</t>
  </si>
  <si>
    <t>distance to mouse</t>
  </si>
  <si>
    <t>sensing_distanceto:sprite</t>
  </si>
  <si>
    <t>distance to sprite</t>
  </si>
  <si>
    <t>mouse x</t>
  </si>
  <si>
    <t>set drag mode</t>
  </si>
  <si>
    <t>loudness</t>
  </si>
  <si>
    <t>timer</t>
  </si>
  <si>
    <t>reset timer</t>
  </si>
  <si>
    <t>backdrop of</t>
  </si>
  <si>
    <t>current second</t>
  </si>
  <si>
    <t>days since 2000</t>
  </si>
  <si>
    <t>username</t>
  </si>
  <si>
    <t>operator_mathop:abs</t>
  </si>
  <si>
    <t>operator_mathop:floor</t>
  </si>
  <si>
    <t>operator_mathop:ceiling</t>
  </si>
  <si>
    <t>operator_mathop:sqrt</t>
  </si>
  <si>
    <t>operator_mathop:sin</t>
  </si>
  <si>
    <t>operator_mathop:cos</t>
  </si>
  <si>
    <t>operator_mathop:tan</t>
  </si>
  <si>
    <t>operator_mathop:asin</t>
  </si>
  <si>
    <t>operator_mathop:acos</t>
  </si>
  <si>
    <t>operator_mathop:atan</t>
  </si>
  <si>
    <t>operator_mathop:ln</t>
  </si>
  <si>
    <t>operator_mathop:log</t>
  </si>
  <si>
    <t>operator_mathop:e^</t>
  </si>
  <si>
    <t>operator_mathop:10^</t>
  </si>
  <si>
    <t>custom block no def</t>
  </si>
  <si>
    <t>pen_stamp:vector</t>
  </si>
  <si>
    <t>pen_stamp:bitmap</t>
  </si>
  <si>
    <t>control (sensing non-reporter)</t>
  </si>
  <si>
    <t>pick random (float)</t>
  </si>
  <si>
    <t>pick random (int)</t>
  </si>
  <si>
    <t>Subtract add?</t>
  </si>
  <si>
    <t>add</t>
  </si>
  <si>
    <t>add: sub</t>
  </si>
  <si>
    <t>Opcode</t>
  </si>
  <si>
    <t>mult</t>
  </si>
  <si>
    <t>movesteps</t>
  </si>
  <si>
    <t>turnright</t>
  </si>
  <si>
    <t>turnleft</t>
  </si>
  <si>
    <t>goto</t>
  </si>
  <si>
    <t>gotoxy</t>
  </si>
  <si>
    <t>glideto</t>
  </si>
  <si>
    <t>glidesecstoxy</t>
  </si>
  <si>
    <t>pointindirection</t>
  </si>
  <si>
    <t>pointtowards</t>
  </si>
  <si>
    <t>changexby</t>
  </si>
  <si>
    <t>setx</t>
  </si>
  <si>
    <t>changeyby</t>
  </si>
  <si>
    <t>sety</t>
  </si>
  <si>
    <t>ifonedgebounce</t>
  </si>
  <si>
    <t>setrotationstyle</t>
  </si>
  <si>
    <t>xposition</t>
  </si>
  <si>
    <t>yposition</t>
  </si>
  <si>
    <t>direction</t>
  </si>
  <si>
    <t>sayforsecs</t>
  </si>
  <si>
    <t>thinkforsecs</t>
  </si>
  <si>
    <t>switchcostumeto</t>
  </si>
  <si>
    <t>nextcostume</t>
  </si>
  <si>
    <t>switchbackdropto</t>
  </si>
  <si>
    <t>switchbackdroptoandwait</t>
  </si>
  <si>
    <t>nextbackdrop</t>
  </si>
  <si>
    <t>changesizeby</t>
  </si>
  <si>
    <t>setsizeto</t>
  </si>
  <si>
    <t>changeeffectby:color</t>
  </si>
  <si>
    <t>seteffectto:color</t>
  </si>
  <si>
    <t>changeeffectby:fisheye</t>
  </si>
  <si>
    <t>seteffectto:fisheye</t>
  </si>
  <si>
    <t>changeeffectby:whirl</t>
  </si>
  <si>
    <t>seteffectto:whirl</t>
  </si>
  <si>
    <t>changeeffectby:pixelate</t>
  </si>
  <si>
    <t>seteffectto:pixelate</t>
  </si>
  <si>
    <t>changeeffectby:mosaic</t>
  </si>
  <si>
    <t>seteffectto:mosaic</t>
  </si>
  <si>
    <t>changeeffectby:brightness</t>
  </si>
  <si>
    <t>seteffectto:brightness</t>
  </si>
  <si>
    <t>changeeffectby:ghost</t>
  </si>
  <si>
    <t>seteffectto:ghost</t>
  </si>
  <si>
    <t>cleargraphiceffects</t>
  </si>
  <si>
    <t>gotofrontback</t>
  </si>
  <si>
    <t>goforwardbackwardlayers</t>
  </si>
  <si>
    <t>costumenumbername</t>
  </si>
  <si>
    <t>backdropnumbername</t>
  </si>
  <si>
    <t>whenbackdropswitchesto</t>
  </si>
  <si>
    <t>whengreaterthan</t>
  </si>
  <si>
    <t>whenbroadcastreceived</t>
  </si>
  <si>
    <t>broadcastandwait</t>
  </si>
  <si>
    <t>wait</t>
  </si>
  <si>
    <t>forever</t>
  </si>
  <si>
    <t>stop</t>
  </si>
  <si>
    <t>touchingobject:mouse-pointer</t>
  </si>
  <si>
    <t>touchingobject:edge</t>
  </si>
  <si>
    <t>touchingobject:sprite</t>
  </si>
  <si>
    <t>touchingcolor</t>
  </si>
  <si>
    <t>coloristouchingcolor</t>
  </si>
  <si>
    <t>distanceto:mouse-pointer</t>
  </si>
  <si>
    <t>distanceto:sprite</t>
  </si>
  <si>
    <t>askandwait</t>
  </si>
  <si>
    <t>answer</t>
  </si>
  <si>
    <t>keypressed</t>
  </si>
  <si>
    <t>mousedown</t>
  </si>
  <si>
    <t>mousex</t>
  </si>
  <si>
    <t>mousey</t>
  </si>
  <si>
    <t>setdragmode</t>
  </si>
  <si>
    <t>resettimer</t>
  </si>
  <si>
    <t>of</t>
  </si>
  <si>
    <t>current</t>
  </si>
  <si>
    <t>dayssince2000</t>
  </si>
  <si>
    <t>subtract</t>
  </si>
  <si>
    <t>multiply</t>
  </si>
  <si>
    <t>divide</t>
  </si>
  <si>
    <t>random</t>
  </si>
  <si>
    <t>gt</t>
  </si>
  <si>
    <t>lt</t>
  </si>
  <si>
    <t>equals</t>
  </si>
  <si>
    <t>length</t>
  </si>
  <si>
    <t>contains</t>
  </si>
  <si>
    <t>mathop:abs</t>
  </si>
  <si>
    <t>mathop:floor</t>
  </si>
  <si>
    <t>mathop:ceiling</t>
  </si>
  <si>
    <t>mathop:sqrt</t>
  </si>
  <si>
    <t>mathop:sin</t>
  </si>
  <si>
    <t>mathop:cos</t>
  </si>
  <si>
    <t>mathop:tan</t>
  </si>
  <si>
    <t>mathop:asin</t>
  </si>
  <si>
    <t>mathop:acos</t>
  </si>
  <si>
    <t>mathop:atan</t>
  </si>
  <si>
    <t>mathop:ln</t>
  </si>
  <si>
    <t>mathop:log</t>
  </si>
  <si>
    <t>mathop:e^</t>
  </si>
  <si>
    <t>mathop:10^</t>
  </si>
  <si>
    <t>setvariableto</t>
  </si>
  <si>
    <t>changevariableby</t>
  </si>
  <si>
    <t>showvariable</t>
  </si>
  <si>
    <t>hidevariable</t>
  </si>
  <si>
    <t>listcontents</t>
  </si>
  <si>
    <t>addtolist</t>
  </si>
  <si>
    <t>deleteoflist</t>
  </si>
  <si>
    <t>deletealloflist</t>
  </si>
  <si>
    <t>insertatlist</t>
  </si>
  <si>
    <t>replaceitemoflist</t>
  </si>
  <si>
    <t>itemoflist</t>
  </si>
  <si>
    <t>itemnumoflist</t>
  </si>
  <si>
    <t>lengthoflist</t>
  </si>
  <si>
    <t>listcontainsitem</t>
  </si>
  <si>
    <t>showlist</t>
  </si>
  <si>
    <t>hidelist</t>
  </si>
  <si>
    <t>definition</t>
  </si>
  <si>
    <t>call</t>
  </si>
  <si>
    <t>clear</t>
  </si>
  <si>
    <t>stamp:vector</t>
  </si>
  <si>
    <t>stamp:bitmap</t>
  </si>
  <si>
    <t>penDown</t>
  </si>
  <si>
    <t>penUp</t>
  </si>
  <si>
    <t>setPenColorToColor</t>
  </si>
  <si>
    <t>changePenColorParamBy</t>
  </si>
  <si>
    <t>setPenColorParamTo</t>
  </si>
  <si>
    <t>changePenSizeBy</t>
  </si>
  <si>
    <t>setPenSizeTo</t>
  </si>
  <si>
    <t>&lt;--- subtract call</t>
  </si>
  <si>
    <t>start as clone</t>
  </si>
  <si>
    <t>create clone of</t>
  </si>
  <si>
    <t>delete this clone</t>
  </si>
  <si>
    <t>argument_reporter_string_number</t>
  </si>
  <si>
    <t>argument_reporter_boolean</t>
  </si>
  <si>
    <t>reporter string number</t>
  </si>
  <si>
    <t>reporter boolean</t>
  </si>
  <si>
    <t>240-</t>
  </si>
  <si>
    <t>variable (global)</t>
  </si>
  <si>
    <t>variable (local)</t>
  </si>
  <si>
    <t>tempo</t>
  </si>
  <si>
    <t>N/A</t>
  </si>
  <si>
    <t>string 1 contains 1</t>
  </si>
  <si>
    <t>item # of 1</t>
  </si>
  <si>
    <t>item # of 1000</t>
  </si>
  <si>
    <t>list contains 1</t>
  </si>
  <si>
    <t>list contains 1000</t>
  </si>
  <si>
    <t>control (reporter non-constant)</t>
  </si>
  <si>
    <t>insert at  1</t>
  </si>
  <si>
    <t>insert at  10000</t>
  </si>
  <si>
    <t>control (non-reporter non-constant)</t>
  </si>
  <si>
    <t>custom block 20</t>
  </si>
  <si>
    <t>n</t>
  </si>
  <si>
    <t>string 500 contains 1</t>
  </si>
  <si>
    <t>string 1000 contains 1</t>
  </si>
  <si>
    <t>string 1500 contains 1</t>
  </si>
  <si>
    <t>string 2000 contains 1</t>
  </si>
  <si>
    <t>string 2500 contains 1</t>
  </si>
  <si>
    <t>item # of 200</t>
  </si>
  <si>
    <t>item # of 400</t>
  </si>
  <si>
    <t>item # of 600</t>
  </si>
  <si>
    <t>item # of 800</t>
  </si>
  <si>
    <t>list contains 200</t>
  </si>
  <si>
    <t>list contains 400</t>
  </si>
  <si>
    <t>list contains 600</t>
  </si>
  <si>
    <t>list contains 800</t>
  </si>
  <si>
    <t>custom block 5</t>
  </si>
  <si>
    <t>custom block 15</t>
  </si>
  <si>
    <t>custom block 25</t>
  </si>
  <si>
    <t>custom block 30</t>
  </si>
  <si>
    <t>insert at 2000</t>
  </si>
  <si>
    <t>insert at 4000</t>
  </si>
  <si>
    <t>insert at 6000</t>
  </si>
  <si>
    <t>insert at 8000</t>
  </si>
  <si>
    <t>(aka make sure formula has -c153)</t>
  </si>
  <si>
    <t>RTC (const)</t>
  </si>
  <si>
    <t>RTC (An+B): A</t>
  </si>
  <si>
    <t>RTC (An+B): B</t>
  </si>
  <si>
    <t>1.1+0.0038n</t>
  </si>
  <si>
    <t>6.4+0.0107n</t>
  </si>
  <si>
    <t>2.8+1n</t>
  </si>
  <si>
    <t>2.8+1.09n</t>
  </si>
  <si>
    <t>1.1+0.271n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</si>
</sst>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14BE8D"/>
        <bgColor indexed="64"/>
      </patternFill>
    </fill>
    <fill>
      <patternFill patternType="solid">
        <fgColor rgb="FF4B99FD"/>
        <bgColor indexed="64"/>
      </patternFill>
    </fill>
    <fill>
      <patternFill patternType="solid">
        <fgColor rgb="FF9867FC"/>
        <bgColor indexed="64"/>
      </patternFill>
    </fill>
    <fill>
      <patternFill patternType="solid">
        <fgColor rgb="FFCF61CD"/>
        <bgColor indexed="64"/>
      </patternFill>
    </fill>
    <fill>
      <patternFill patternType="solid">
        <fgColor rgb="FFFFBD20"/>
        <bgColor indexed="64"/>
      </patternFill>
    </fill>
    <fill>
      <patternFill patternType="solid">
        <fgColor rgb="FF5CB2D5"/>
        <bgColor indexed="64"/>
      </patternFill>
    </fill>
    <fill>
      <patternFill patternType="solid">
        <fgColor rgb="FF5AC15D"/>
        <bgColor indexed="64"/>
      </patternFill>
    </fill>
    <fill>
      <patternFill patternType="solid">
        <fgColor rgb="FFFF8825"/>
        <bgColor indexed="64"/>
      </patternFill>
    </fill>
    <fill>
      <patternFill patternType="solid">
        <fgColor rgb="FFFF6080"/>
        <bgColor indexed="64"/>
      </patternFill>
    </fill>
    <fill>
      <patternFill patternType="solid">
        <fgColor rgb="FFFFA828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>
      <alignment horizontal="center"/>
    </xf>
    <xf numFmtId="164" fontId="1" fillId="0" borderId="0" xfId="0" applyNumberFormat="1" applyFont="1"/>
    <xf numFmtId="2" fontId="1" fillId="0" borderId="0" xfId="0" applyNumberFormat="1" applyFont="1"/>
    <xf numFmtId="1" fontId="1" fillId="0" borderId="0" xfId="0" applyNumberFormat="1" applyFont="1"/>
    <xf numFmtId="1" fontId="0" fillId="0" borderId="0" xfId="0" applyNumberFormat="1"/>
    <xf numFmtId="0" fontId="2" fillId="3" borderId="1" xfId="0" applyFont="1" applyFill="1" applyBorder="1"/>
    <xf numFmtId="0" fontId="2" fillId="3" borderId="3" xfId="0" applyFont="1" applyFill="1" applyBorder="1"/>
    <xf numFmtId="0" fontId="2" fillId="4" borderId="3" xfId="0" applyFont="1" applyFill="1" applyBorder="1"/>
    <xf numFmtId="0" fontId="2" fillId="5" borderId="3" xfId="0" applyFont="1" applyFill="1" applyBorder="1"/>
    <xf numFmtId="0" fontId="2" fillId="2" borderId="3" xfId="0" applyFont="1" applyFill="1" applyBorder="1"/>
    <xf numFmtId="0" fontId="2" fillId="6" borderId="3" xfId="0" applyFont="1" applyFill="1" applyBorder="1"/>
    <xf numFmtId="0" fontId="2" fillId="7" borderId="3" xfId="0" applyFont="1" applyFill="1" applyBorder="1"/>
    <xf numFmtId="0" fontId="2" fillId="8" borderId="3" xfId="0" applyFont="1" applyFill="1" applyBorder="1"/>
    <xf numFmtId="0" fontId="2" fillId="8" borderId="5" xfId="0" applyFont="1" applyFill="1" applyBorder="1"/>
    <xf numFmtId="0" fontId="2" fillId="8" borderId="1" xfId="0" applyFont="1" applyFill="1" applyBorder="1"/>
    <xf numFmtId="0" fontId="2" fillId="9" borderId="3" xfId="0" applyFont="1" applyFill="1" applyBorder="1"/>
    <xf numFmtId="0" fontId="2" fillId="10" borderId="3" xfId="0" applyFont="1" applyFill="1" applyBorder="1"/>
    <xf numFmtId="0" fontId="2" fillId="4" borderId="1" xfId="0" applyFont="1" applyFill="1" applyBorder="1"/>
    <xf numFmtId="0" fontId="2" fillId="7" borderId="1" xfId="0" applyFont="1" applyFill="1" applyBorder="1"/>
    <xf numFmtId="0" fontId="2" fillId="4" borderId="5" xfId="0" applyFont="1" applyFill="1" applyBorder="1"/>
    <xf numFmtId="0" fontId="2" fillId="7" borderId="5" xfId="0" applyFont="1" applyFill="1" applyBorder="1"/>
    <xf numFmtId="0" fontId="2" fillId="2" borderId="5" xfId="0" applyFont="1" applyFill="1" applyBorder="1"/>
    <xf numFmtId="0" fontId="2" fillId="11" borderId="3" xfId="0" applyFont="1" applyFill="1" applyBorder="1"/>
    <xf numFmtId="164" fontId="2" fillId="3" borderId="2" xfId="0" applyNumberFormat="1" applyFont="1" applyFill="1" applyBorder="1"/>
    <xf numFmtId="164" fontId="2" fillId="3" borderId="4" xfId="0" applyNumberFormat="1" applyFont="1" applyFill="1" applyBorder="1"/>
    <xf numFmtId="164" fontId="2" fillId="4" borderId="4" xfId="0" applyNumberFormat="1" applyFont="1" applyFill="1" applyBorder="1"/>
    <xf numFmtId="164" fontId="2" fillId="4" borderId="6" xfId="0" applyNumberFormat="1" applyFont="1" applyFill="1" applyBorder="1"/>
    <xf numFmtId="164" fontId="2" fillId="4" borderId="2" xfId="0" applyNumberFormat="1" applyFont="1" applyFill="1" applyBorder="1"/>
    <xf numFmtId="164" fontId="2" fillId="5" borderId="4" xfId="0" applyNumberFormat="1" applyFont="1" applyFill="1" applyBorder="1"/>
    <xf numFmtId="164" fontId="2" fillId="6" borderId="4" xfId="0" applyNumberFormat="1" applyFont="1" applyFill="1" applyBorder="1"/>
    <xf numFmtId="164" fontId="2" fillId="11" borderId="4" xfId="0" applyNumberFormat="1" applyFont="1" applyFill="1" applyBorder="1"/>
    <xf numFmtId="164" fontId="2" fillId="7" borderId="6" xfId="0" applyNumberFormat="1" applyFont="1" applyFill="1" applyBorder="1"/>
    <xf numFmtId="0" fontId="0" fillId="12" borderId="0" xfId="0" applyFill="1"/>
    <xf numFmtId="164" fontId="0" fillId="0" borderId="0" xfId="0" applyNumberFormat="1" applyAlignment="1">
      <alignment horizontal="right"/>
    </xf>
    <xf numFmtId="164" fontId="2" fillId="8" borderId="2" xfId="0" applyNumberFormat="1" applyFont="1" applyFill="1" applyBorder="1" applyAlignment="1">
      <alignment horizontal="right"/>
    </xf>
    <xf numFmtId="164" fontId="2" fillId="8" borderId="4" xfId="0" applyNumberFormat="1" applyFont="1" applyFill="1" applyBorder="1" applyAlignment="1">
      <alignment horizontal="right"/>
    </xf>
    <xf numFmtId="164" fontId="2" fillId="9" borderId="4" xfId="0" applyNumberFormat="1" applyFont="1" applyFill="1" applyBorder="1" applyAlignment="1">
      <alignment horizontal="right"/>
    </xf>
    <xf numFmtId="164" fontId="2" fillId="10" borderId="4" xfId="0" applyNumberFormat="1" applyFont="1" applyFill="1" applyBorder="1" applyAlignment="1">
      <alignment horizontal="right"/>
    </xf>
    <xf numFmtId="164" fontId="2" fillId="2" borderId="4" xfId="0" applyNumberFormat="1" applyFont="1" applyFill="1" applyBorder="1" applyAlignment="1">
      <alignment horizontal="right"/>
    </xf>
    <xf numFmtId="164" fontId="2" fillId="2" borderId="6" xfId="0" applyNumberFormat="1" applyFont="1" applyFill="1" applyBorder="1" applyAlignment="1">
      <alignment horizontal="right"/>
    </xf>
    <xf numFmtId="164" fontId="2" fillId="7" borderId="2" xfId="0" applyNumberFormat="1" applyFont="1" applyFill="1" applyBorder="1" applyAlignment="1">
      <alignment horizontal="right"/>
    </xf>
    <xf numFmtId="164" fontId="2" fillId="7" borderId="4" xfId="0" applyNumberFormat="1" applyFont="1" applyFill="1" applyBorder="1" applyAlignment="1">
      <alignment horizontal="right"/>
    </xf>
    <xf numFmtId="164" fontId="2" fillId="8" borderId="6" xfId="0" applyNumberFormat="1" applyFont="1" applyFill="1" applyBorder="1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5"/>
          <c:order val="0"/>
          <c:tx>
            <c:v>String Contains</c:v>
          </c:tx>
          <c:spPr>
            <a:ln w="25400">
              <a:noFill/>
            </a:ln>
          </c:spPr>
          <c:trendline>
            <c:trendlineType val="linear"/>
            <c:intercept val="1.1000000000000001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'RTC table'!$C$128:$C$133</c:f>
              <c:numCache>
                <c:formatCode>General</c:formatCode>
                <c:ptCount val="6"/>
                <c:pt idx="0">
                  <c:v>1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</c:numCache>
            </c:numRef>
          </c:xVal>
          <c:yVal>
            <c:numRef>
              <c:f>'RTC table'!$B$128:$B$133</c:f>
              <c:numCache>
                <c:formatCode>0.0</c:formatCode>
                <c:ptCount val="6"/>
                <c:pt idx="0">
                  <c:v>1.7589623037528335</c:v>
                </c:pt>
                <c:pt idx="1">
                  <c:v>3.828329719932638</c:v>
                </c:pt>
                <c:pt idx="2">
                  <c:v>7.346254327438305</c:v>
                </c:pt>
                <c:pt idx="3">
                  <c:v>6.3854765984976822</c:v>
                </c:pt>
                <c:pt idx="4">
                  <c:v>8.3661568396983519</c:v>
                </c:pt>
                <c:pt idx="5">
                  <c:v>9.9773071851526289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EA7-4645-8A10-9476B9C35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071696"/>
        <c:axId val="262063536"/>
      </c:scatterChart>
      <c:valAx>
        <c:axId val="262071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63536"/>
        <c:crosses val="autoZero"/>
        <c:crossBetween val="midCat"/>
      </c:valAx>
      <c:valAx>
        <c:axId val="26206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RTC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7169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v>Item #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trendlineType val="linear"/>
            <c:intercept val="2.8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'RTC table'!$C$134:$C$139</c:f>
              <c:numCache>
                <c:formatCode>General</c:formatCode>
                <c:ptCount val="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</c:numCache>
            </c:numRef>
          </c:xVal>
          <c:yVal>
            <c:numRef>
              <c:f>'RTC table'!$B$134:$B$139</c:f>
              <c:numCache>
                <c:formatCode>0.0</c:formatCode>
                <c:ptCount val="6"/>
                <c:pt idx="0">
                  <c:v>3.1631759075891295</c:v>
                </c:pt>
                <c:pt idx="1">
                  <c:v>208.28183043849731</c:v>
                </c:pt>
                <c:pt idx="2">
                  <c:v>414.16910715255801</c:v>
                </c:pt>
                <c:pt idx="3">
                  <c:v>606.01424782825575</c:v>
                </c:pt>
                <c:pt idx="4">
                  <c:v>800.99300201988285</c:v>
                </c:pt>
                <c:pt idx="5">
                  <c:v>1010.841639216345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FD-4044-88B1-57CF13862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071696"/>
        <c:axId val="262063536"/>
      </c:scatterChart>
      <c:valAx>
        <c:axId val="262071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63536"/>
        <c:crosses val="autoZero"/>
        <c:crossBetween val="midCat"/>
      </c:valAx>
      <c:valAx>
        <c:axId val="26206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RTC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7169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7"/>
          <c:order val="0"/>
          <c:tx>
            <c:v>List Contains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trendlineType val="linear"/>
            <c:intercept val="2.8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'RTC table'!$C$140:$C$145</c:f>
              <c:numCache>
                <c:formatCode>General</c:formatCode>
                <c:ptCount val="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</c:numCache>
            </c:numRef>
          </c:xVal>
          <c:yVal>
            <c:numRef>
              <c:f>'RTC table'!$B$140:$B$145</c:f>
              <c:numCache>
                <c:formatCode>0.0</c:formatCode>
                <c:ptCount val="6"/>
                <c:pt idx="0">
                  <c:v>3.3405502575473989</c:v>
                </c:pt>
                <c:pt idx="1">
                  <c:v>225.17673727202242</c:v>
                </c:pt>
                <c:pt idx="2">
                  <c:v>451.5064078187736</c:v>
                </c:pt>
                <c:pt idx="3">
                  <c:v>681.44269014800966</c:v>
                </c:pt>
                <c:pt idx="4">
                  <c:v>923.86908295347371</c:v>
                </c:pt>
                <c:pt idx="5">
                  <c:v>1038.5563813973245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AD-4A78-89D9-BC6F508B1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071696"/>
        <c:axId val="262063536"/>
      </c:scatterChart>
      <c:valAx>
        <c:axId val="262071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63536"/>
        <c:crosses val="autoZero"/>
        <c:crossBetween val="midCat"/>
      </c:valAx>
      <c:valAx>
        <c:axId val="26206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RTC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7169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8"/>
          <c:order val="0"/>
          <c:tx>
            <c:v>Procedure Call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'RTC table'!$C$146:$C$152</c:f>
              <c:numCache>
                <c:formatCode>General</c:formatCode>
                <c:ptCount val="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</c:numCache>
            </c:numRef>
          </c:xVal>
          <c:yVal>
            <c:numRef>
              <c:f>'RTC table'!$B$146:$B$152</c:f>
              <c:numCache>
                <c:formatCode>0.0</c:formatCode>
                <c:ptCount val="7"/>
                <c:pt idx="0">
                  <c:v>6.9850568160160629</c:v>
                </c:pt>
                <c:pt idx="1">
                  <c:v>7.0702404357235746</c:v>
                </c:pt>
                <c:pt idx="2">
                  <c:v>9.9522862358277653</c:v>
                </c:pt>
                <c:pt idx="3">
                  <c:v>10.349809794462825</c:v>
                </c:pt>
                <c:pt idx="4">
                  <c:v>12.635570256614422</c:v>
                </c:pt>
                <c:pt idx="5">
                  <c:v>13.473209183738302</c:v>
                </c:pt>
                <c:pt idx="6">
                  <c:v>14.46701808032595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BE-4CE4-8ADB-664867641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071696"/>
        <c:axId val="262063536"/>
      </c:scatterChart>
      <c:valAx>
        <c:axId val="262071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63536"/>
        <c:crosses val="autoZero"/>
        <c:crossBetween val="midCat"/>
      </c:valAx>
      <c:valAx>
        <c:axId val="26206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RTC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7169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9"/>
          <c:order val="0"/>
          <c:tx>
            <c:v>Insert At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trendlineType val="linear"/>
            <c:intercept val="6.4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'RTC table'!$C$153:$C$158</c:f>
              <c:numCache>
                <c:formatCode>General</c:formatCode>
                <c:ptCount val="6"/>
                <c:pt idx="0">
                  <c:v>1</c:v>
                </c:pt>
                <c:pt idx="1">
                  <c:v>2000</c:v>
                </c:pt>
                <c:pt idx="2">
                  <c:v>4000</c:v>
                </c:pt>
                <c:pt idx="3">
                  <c:v>6000</c:v>
                </c:pt>
                <c:pt idx="4">
                  <c:v>8000</c:v>
                </c:pt>
                <c:pt idx="5">
                  <c:v>10000</c:v>
                </c:pt>
              </c:numCache>
            </c:numRef>
          </c:xVal>
          <c:yVal>
            <c:numRef>
              <c:f>'RTC table'!$B$153:$B$158</c:f>
              <c:numCache>
                <c:formatCode>0.0</c:formatCode>
                <c:ptCount val="6"/>
                <c:pt idx="0">
                  <c:v>6.3461796682097154</c:v>
                </c:pt>
                <c:pt idx="1">
                  <c:v>24.902011494496286</c:v>
                </c:pt>
                <c:pt idx="2">
                  <c:v>47.291106207620935</c:v>
                </c:pt>
                <c:pt idx="3">
                  <c:v>70.645615277430736</c:v>
                </c:pt>
                <c:pt idx="4">
                  <c:v>91.004500387526335</c:v>
                </c:pt>
                <c:pt idx="5">
                  <c:v>115.19664838446003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04-47FC-A0B2-D63FE4AA0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071696"/>
        <c:axId val="262063536"/>
      </c:scatterChart>
      <c:valAx>
        <c:axId val="262071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63536"/>
        <c:crosses val="autoZero"/>
        <c:crossBetween val="midCat"/>
      </c:valAx>
      <c:valAx>
        <c:axId val="26206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RTC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7169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1</xdr:row>
      <xdr:rowOff>61232</xdr:rowOff>
    </xdr:from>
    <xdr:to>
      <xdr:col>3</xdr:col>
      <xdr:colOff>811713</xdr:colOff>
      <xdr:row>17</xdr:row>
      <xdr:rowOff>2089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C0BC05-9B67-40DA-A236-8A3D464048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790409</xdr:colOff>
      <xdr:row>1</xdr:row>
      <xdr:rowOff>55732</xdr:rowOff>
    </xdr:from>
    <xdr:to>
      <xdr:col>8</xdr:col>
      <xdr:colOff>139355</xdr:colOff>
      <xdr:row>16</xdr:row>
      <xdr:rowOff>183515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A44A0AE-D2C8-40E8-94C9-533BA1FC7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138625</xdr:colOff>
      <xdr:row>1</xdr:row>
      <xdr:rowOff>55732</xdr:rowOff>
    </xdr:from>
    <xdr:to>
      <xdr:col>12</xdr:col>
      <xdr:colOff>406054</xdr:colOff>
      <xdr:row>16</xdr:row>
      <xdr:rowOff>183515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42E86E2-2DFB-461F-9ABE-60102E9D13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152400</xdr:colOff>
      <xdr:row>16</xdr:row>
      <xdr:rowOff>179614</xdr:rowOff>
    </xdr:from>
    <xdr:to>
      <xdr:col>10</xdr:col>
      <xdr:colOff>419829</xdr:colOff>
      <xdr:row>32</xdr:row>
      <xdr:rowOff>120471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342188F-91EF-412E-B19A-88000FCE7A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322489</xdr:colOff>
      <xdr:row>16</xdr:row>
      <xdr:rowOff>179668</xdr:rowOff>
    </xdr:from>
    <xdr:to>
      <xdr:col>6</xdr:col>
      <xdr:colOff>153128</xdr:colOff>
      <xdr:row>32</xdr:row>
      <xdr:rowOff>125967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F98E139-393E-44AA-AA21-9CBE7755E3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636814</xdr:colOff>
      <xdr:row>4</xdr:row>
      <xdr:rowOff>119742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6977743" y="8599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163286</xdr:colOff>
          <xdr:row>2</xdr:row>
          <xdr:rowOff>136071</xdr:rowOff>
        </xdr:from>
        <xdr:to>
          <xdr:col>8</xdr:col>
          <xdr:colOff>620486</xdr:colOff>
          <xdr:row>4</xdr:row>
          <xdr:rowOff>136071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RTC.json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6</xdr:row>
          <xdr:rowOff>0</xdr:rowOff>
        </xdr:from>
        <xdr:to>
          <xdr:col>8</xdr:col>
          <xdr:colOff>647700</xdr:colOff>
          <xdr:row>8</xdr:row>
          <xdr:rowOff>27214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formatted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BBF80-9767-491E-AE6B-A56087A5AE63}">
  <dimension ref="A1"/>
  <sheetViews>
    <sheetView tabSelected="1" workbookViewId="0"/>
  </sheetViews>
  <sheetFormatPr defaultRowHeight="14.6" x14ac:dyDescent="0.4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73"/>
  <sheetViews>
    <sheetView topLeftCell="A136" zoomScale="110" zoomScaleNormal="110" workbookViewId="0">
      <selection activeCell="K141" sqref="K141"/>
    </sheetView>
  </sheetViews>
  <sheetFormatPr defaultRowHeight="14.6" x14ac:dyDescent="0.4"/>
  <cols>
    <col min="1" max="1" width="17" customWidth="1"/>
    <col min="2" max="3" width="10.69140625" customWidth="1"/>
    <col min="4" max="4" width="8.23046875" customWidth="1"/>
    <col min="5" max="5" width="10.69140625" customWidth="1"/>
    <col min="6" max="7" width="11.07421875" customWidth="1"/>
    <col min="8" max="8" width="11.4609375" style="3" customWidth="1"/>
    <col min="9" max="9" width="14" customWidth="1"/>
    <col min="10" max="10" width="14" style="9" customWidth="1"/>
    <col min="11" max="11" width="11.84375" style="4" bestFit="1" customWidth="1"/>
    <col min="12" max="12" width="11.84375" style="4" customWidth="1"/>
    <col min="13" max="13" width="19.921875" bestFit="1" customWidth="1"/>
    <col min="14" max="14" width="9.3828125" style="3" bestFit="1" customWidth="1"/>
  </cols>
  <sheetData>
    <row r="1" spans="1:15" x14ac:dyDescent="0.4">
      <c r="A1" s="1" t="s">
        <v>103</v>
      </c>
      <c r="B1" s="1" t="s">
        <v>104</v>
      </c>
      <c r="C1" s="1" t="s">
        <v>105</v>
      </c>
      <c r="D1" s="1" t="s">
        <v>129</v>
      </c>
      <c r="E1" s="1" t="s">
        <v>107</v>
      </c>
      <c r="F1" s="1" t="s">
        <v>128</v>
      </c>
      <c r="G1" s="1" t="s">
        <v>131</v>
      </c>
      <c r="H1" s="7" t="s">
        <v>106</v>
      </c>
      <c r="I1" s="1" t="s">
        <v>130</v>
      </c>
      <c r="J1" s="8" t="s">
        <v>328</v>
      </c>
      <c r="K1" s="6" t="s">
        <v>108</v>
      </c>
      <c r="L1" s="6"/>
      <c r="M1" s="48" t="s">
        <v>109</v>
      </c>
      <c r="N1" s="48"/>
    </row>
    <row r="2" spans="1:15" x14ac:dyDescent="0.4">
      <c r="A2" t="s">
        <v>0</v>
      </c>
      <c r="B2">
        <v>398.6</v>
      </c>
      <c r="C2">
        <v>0.01</v>
      </c>
      <c r="D2">
        <v>44.3</v>
      </c>
      <c r="E2">
        <v>50000</v>
      </c>
      <c r="F2" cm="1">
        <f t="array" aca="1" ref="F2" ca="1">IFERROR(MATCH(TRUE, INDEX(ISNUMBER(FIND("control", INDIRECT("A" &amp; ROW() + 1 &amp; ":A1000"))), 0), 0) + ROW(), ROW())</f>
        <v>12</v>
      </c>
      <c r="G2">
        <v>1</v>
      </c>
      <c r="H2" s="3" cm="1">
        <f t="array" aca="1" ref="H2" ca="1">(B2-INDEX(B:B,F2))/INDEX(B:B,F2)/G2</f>
        <v>1.5534913516976299</v>
      </c>
      <c r="I2" s="3">
        <f t="shared" ref="I2:I42" ca="1" si="0">$N$4</f>
        <v>4.5857181942544472</v>
      </c>
      <c r="J2" s="9">
        <v>0</v>
      </c>
      <c r="K2" s="4">
        <f t="shared" ref="K2:K65" ca="1" si="1">MAX(H2*I2-IF(J2=1,$N$5,0),0.1)</f>
        <v>7.1238735560967559</v>
      </c>
      <c r="M2" s="2" t="s">
        <v>111</v>
      </c>
      <c r="N2" s="5">
        <v>0.56000000000000005</v>
      </c>
      <c r="O2" t="s">
        <v>132</v>
      </c>
    </row>
    <row r="3" spans="1:15" x14ac:dyDescent="0.4">
      <c r="A3" t="s">
        <v>1</v>
      </c>
      <c r="B3">
        <v>380.6</v>
      </c>
      <c r="C3">
        <v>0.01</v>
      </c>
      <c r="D3">
        <v>42.3</v>
      </c>
      <c r="E3">
        <v>50000</v>
      </c>
      <c r="F3" cm="1">
        <f t="array" aca="1" ref="F3" ca="1">IFERROR(MATCH(TRUE, INDEX(ISNUMBER(FIND("control", INDIRECT("A" &amp; ROW() + 1 &amp; ":A1000"))), 0), 0) + ROW(), ROW())</f>
        <v>12</v>
      </c>
      <c r="G3">
        <v>1</v>
      </c>
      <c r="H3" s="3" cm="1">
        <f t="array" aca="1" ref="H3" ca="1">(B3-INDEX(B:B,F3))/INDEX(B:B,F3)/G3</f>
        <v>1.4381806534272905</v>
      </c>
      <c r="I3" s="3">
        <f t="shared" ca="1" si="0"/>
        <v>4.5857181942544472</v>
      </c>
      <c r="J3" s="9">
        <v>0</v>
      </c>
      <c r="K3" s="4">
        <f t="shared" ca="1" si="1"/>
        <v>6.5950911890462756</v>
      </c>
      <c r="M3" s="2" t="s">
        <v>110</v>
      </c>
      <c r="N3" s="5">
        <f ca="1">1/H65</f>
        <v>8.1887824897400829</v>
      </c>
    </row>
    <row r="4" spans="1:15" x14ac:dyDescent="0.4">
      <c r="A4" t="s">
        <v>2</v>
      </c>
      <c r="B4">
        <v>406.5</v>
      </c>
      <c r="C4">
        <v>0.01</v>
      </c>
      <c r="D4">
        <v>45.2</v>
      </c>
      <c r="E4">
        <v>50000</v>
      </c>
      <c r="F4" cm="1">
        <f t="array" aca="1" ref="F4" ca="1">IFERROR(MATCH(TRUE, INDEX(ISNUMBER(FIND("control", INDIRECT("A" &amp; ROW() + 1 &amp; ":A1000"))), 0), 0) + ROW(), ROW())</f>
        <v>12</v>
      </c>
      <c r="G4">
        <v>1</v>
      </c>
      <c r="H4" s="3" cm="1">
        <f t="array" aca="1" ref="H4" ca="1">(B4-INDEX(B:B,F4))/INDEX(B:B,F4)/G4</f>
        <v>1.6040999359385011</v>
      </c>
      <c r="I4" s="3">
        <f t="shared" ca="1" si="0"/>
        <v>4.5857181942544472</v>
      </c>
      <c r="J4" s="9">
        <v>0</v>
      </c>
      <c r="K4" s="4">
        <f t="shared" ca="1" si="1"/>
        <v>7.3559502616355772</v>
      </c>
      <c r="M4" s="2" t="s">
        <v>112</v>
      </c>
      <c r="N4" s="5">
        <f ca="1">N2*N3</f>
        <v>4.5857181942544472</v>
      </c>
    </row>
    <row r="5" spans="1:15" x14ac:dyDescent="0.4">
      <c r="A5" t="s">
        <v>3</v>
      </c>
      <c r="B5">
        <v>415.8</v>
      </c>
      <c r="C5">
        <v>0.01</v>
      </c>
      <c r="D5">
        <v>46.2</v>
      </c>
      <c r="E5">
        <v>50000</v>
      </c>
      <c r="F5" cm="1">
        <f t="array" aca="1" ref="F5" ca="1">IFERROR(MATCH(TRUE, INDEX(ISNUMBER(FIND("control", INDIRECT("A" &amp; ROW() + 1 &amp; ":A1000"))), 0), 0) + ROW(), ROW())</f>
        <v>12</v>
      </c>
      <c r="G5">
        <v>1</v>
      </c>
      <c r="H5" s="3" cm="1">
        <f t="array" aca="1" ref="H5" ca="1">(B5-INDEX(B:B,F5))/INDEX(B:B,F5)/G5</f>
        <v>1.6636771300448434</v>
      </c>
      <c r="I5" s="3">
        <f t="shared" ca="1" si="0"/>
        <v>4.5857181942544472</v>
      </c>
      <c r="J5" s="9">
        <v>0</v>
      </c>
      <c r="K5" s="4">
        <f t="shared" ca="1" si="1"/>
        <v>7.6291544846116608</v>
      </c>
      <c r="M5" s="2" t="s">
        <v>330</v>
      </c>
      <c r="N5" s="5">
        <v>1</v>
      </c>
      <c r="O5" t="s">
        <v>132</v>
      </c>
    </row>
    <row r="6" spans="1:15" x14ac:dyDescent="0.4">
      <c r="A6" t="s">
        <v>4</v>
      </c>
      <c r="B6">
        <v>378.5</v>
      </c>
      <c r="C6">
        <v>0.01</v>
      </c>
      <c r="D6">
        <v>42.1</v>
      </c>
      <c r="E6">
        <v>50000</v>
      </c>
      <c r="F6" cm="1">
        <f t="array" aca="1" ref="F6" ca="1">IFERROR(MATCH(TRUE, INDEX(ISNUMBER(FIND("control", INDIRECT("A" &amp; ROW() + 1 &amp; ":A1000"))), 0), 0) + ROW(), ROW())</f>
        <v>12</v>
      </c>
      <c r="G6">
        <v>1</v>
      </c>
      <c r="H6" s="3" cm="1">
        <f t="array" aca="1" ref="H6" ca="1">(B6-INDEX(B:B,F6))/INDEX(B:B,F6)/G6</f>
        <v>1.424727738629084</v>
      </c>
      <c r="I6" s="3">
        <f t="shared" ca="1" si="0"/>
        <v>4.5857181942544472</v>
      </c>
      <c r="J6" s="9">
        <v>0</v>
      </c>
      <c r="K6" s="4">
        <f t="shared" ca="1" si="1"/>
        <v>6.5333999128903848</v>
      </c>
      <c r="M6" s="2"/>
      <c r="N6" s="5"/>
    </row>
    <row r="7" spans="1:15" x14ac:dyDescent="0.4">
      <c r="A7" t="s">
        <v>5</v>
      </c>
      <c r="B7">
        <v>431.8</v>
      </c>
      <c r="C7">
        <v>0.01</v>
      </c>
      <c r="D7">
        <v>48</v>
      </c>
      <c r="E7">
        <v>50000</v>
      </c>
      <c r="F7" cm="1">
        <f t="array" aca="1" ref="F7" ca="1">IFERROR(MATCH(TRUE, INDEX(ISNUMBER(FIND("control", INDIRECT("A" &amp; ROW() + 1 &amp; ":A1000"))), 0), 0) + ROW(), ROW())</f>
        <v>12</v>
      </c>
      <c r="G7">
        <v>1</v>
      </c>
      <c r="H7" s="3" cm="1">
        <f t="array" aca="1" ref="H7" ca="1">(B7-INDEX(B:B,F7))/INDEX(B:B,F7)/G7</f>
        <v>1.7661755285073675</v>
      </c>
      <c r="I7" s="3">
        <f t="shared" ca="1" si="0"/>
        <v>4.5857181942544472</v>
      </c>
      <c r="J7" s="9">
        <v>0</v>
      </c>
      <c r="K7" s="4">
        <f t="shared" ca="1" si="1"/>
        <v>8.099183255323199</v>
      </c>
    </row>
    <row r="8" spans="1:15" x14ac:dyDescent="0.4">
      <c r="A8" t="s">
        <v>6</v>
      </c>
      <c r="B8">
        <v>409.3</v>
      </c>
      <c r="C8">
        <v>0.01</v>
      </c>
      <c r="D8">
        <v>45.5</v>
      </c>
      <c r="E8">
        <v>50000</v>
      </c>
      <c r="F8" cm="1">
        <f t="array" aca="1" ref="F8" ca="1">IFERROR(MATCH(TRUE, INDEX(ISNUMBER(FIND("control", INDIRECT("A" &amp; ROW() + 1 &amp; ":A1000"))), 0), 0) + ROW(), ROW())</f>
        <v>12</v>
      </c>
      <c r="G8">
        <v>1</v>
      </c>
      <c r="H8" s="3" cm="1">
        <f t="array" aca="1" ref="H8" ca="1">(B8-INDEX(B:B,F8))/INDEX(B:B,F8)/G8</f>
        <v>1.6220371556694428</v>
      </c>
      <c r="I8" s="3">
        <f t="shared" ca="1" si="0"/>
        <v>4.5857181942544472</v>
      </c>
      <c r="J8" s="9">
        <v>0</v>
      </c>
      <c r="K8" s="4">
        <f t="shared" ca="1" si="1"/>
        <v>7.4382052965100973</v>
      </c>
    </row>
    <row r="9" spans="1:15" x14ac:dyDescent="0.4">
      <c r="A9" t="s">
        <v>7</v>
      </c>
      <c r="B9">
        <v>394.2</v>
      </c>
      <c r="C9">
        <v>0.01</v>
      </c>
      <c r="D9">
        <v>43.8</v>
      </c>
      <c r="E9">
        <v>50000</v>
      </c>
      <c r="F9" cm="1">
        <f t="array" aca="1" ref="F9" ca="1">IFERROR(MATCH(TRUE, INDEX(ISNUMBER(FIND("control", INDIRECT("A" &amp; ROW() + 1 &amp; ":A1000"))), 0), 0) + ROW(), ROW())</f>
        <v>12</v>
      </c>
      <c r="G9">
        <v>1</v>
      </c>
      <c r="H9" s="3" cm="1">
        <f t="array" aca="1" ref="H9" ca="1">(B9-INDEX(B:B,F9))/INDEX(B:B,F9)/G9</f>
        <v>1.5253042921204356</v>
      </c>
      <c r="I9" s="3">
        <f t="shared" ca="1" si="0"/>
        <v>4.5857181942544472</v>
      </c>
      <c r="J9" s="9">
        <v>0</v>
      </c>
      <c r="K9" s="4">
        <f t="shared" ca="1" si="1"/>
        <v>6.9946156441510814</v>
      </c>
      <c r="M9">
        <f>1/0.56*3.56</f>
        <v>6.3571428571428568</v>
      </c>
    </row>
    <row r="10" spans="1:15" x14ac:dyDescent="0.4">
      <c r="A10" t="s">
        <v>8</v>
      </c>
      <c r="B10">
        <v>343.5</v>
      </c>
      <c r="C10">
        <v>0.01</v>
      </c>
      <c r="D10">
        <v>38.200000000000003</v>
      </c>
      <c r="E10">
        <v>50000</v>
      </c>
      <c r="F10" cm="1">
        <f t="array" aca="1" ref="F10" ca="1">IFERROR(MATCH(TRUE, INDEX(ISNUMBER(FIND("control", INDIRECT("A" &amp; ROW() + 1 &amp; ":A1000"))), 0), 0) + ROW(), ROW())</f>
        <v>12</v>
      </c>
      <c r="G10">
        <v>1</v>
      </c>
      <c r="H10" s="3" cm="1">
        <f t="array" aca="1" ref="H10" ca="1">(B10-INDEX(B:B,F10))/INDEX(B:B,F10)/G10</f>
        <v>1.2005124919923127</v>
      </c>
      <c r="I10" s="3">
        <f t="shared" ca="1" si="0"/>
        <v>4.5857181942544472</v>
      </c>
      <c r="J10" s="9">
        <v>0</v>
      </c>
      <c r="K10" s="4">
        <f t="shared" ca="1" si="1"/>
        <v>5.5052119769588943</v>
      </c>
    </row>
    <row r="11" spans="1:15" x14ac:dyDescent="0.4">
      <c r="A11" t="s">
        <v>9</v>
      </c>
      <c r="B11">
        <v>384.9</v>
      </c>
      <c r="C11">
        <v>0.01</v>
      </c>
      <c r="D11">
        <v>42.8</v>
      </c>
      <c r="E11">
        <v>50000</v>
      </c>
      <c r="F11" cm="1">
        <f t="array" aca="1" ref="F11" ca="1">IFERROR(MATCH(TRUE, INDEX(ISNUMBER(FIND("control", INDIRECT("A" &amp; ROW() + 1 &amp; ":A1000"))), 0), 0) + ROW(), ROW())</f>
        <v>12</v>
      </c>
      <c r="G11">
        <v>1</v>
      </c>
      <c r="H11" s="3" cm="1">
        <f t="array" aca="1" ref="H11" ca="1">(B11-INDEX(B:B,F11))/INDEX(B:B,F11)/G11</f>
        <v>1.4657270980140935</v>
      </c>
      <c r="I11" s="3">
        <f t="shared" ca="1" si="0"/>
        <v>4.5857181942544472</v>
      </c>
      <c r="J11" s="9">
        <v>0</v>
      </c>
      <c r="K11" s="4">
        <f t="shared" ca="1" si="1"/>
        <v>6.7214114211749996</v>
      </c>
      <c r="N11" s="3">
        <f ca="1">(233-155.4)/155.4*N4</f>
        <v>2.2899081845183078</v>
      </c>
    </row>
    <row r="12" spans="1:15" x14ac:dyDescent="0.4">
      <c r="A12" t="s">
        <v>115</v>
      </c>
      <c r="B12">
        <v>156.1</v>
      </c>
      <c r="C12">
        <v>0</v>
      </c>
      <c r="D12">
        <v>17.3</v>
      </c>
      <c r="E12">
        <v>50000</v>
      </c>
      <c r="F12" cm="1">
        <f t="array" aca="1" ref="F12" ca="1">IFERROR(MATCH(TRUE, INDEX(ISNUMBER(FIND("control", INDIRECT("A" &amp; ROW() + 1 &amp; ":A1000"))), 0), 0) + ROW(), ROW())</f>
        <v>33</v>
      </c>
      <c r="G12">
        <v>1</v>
      </c>
      <c r="H12" s="3" cm="1">
        <f t="array" aca="1" ref="H12" ca="1">(B12-INDEX(B:B,F12))/INDEX(B:B,F12)/G12</f>
        <v>3.7591463414634148</v>
      </c>
      <c r="I12" s="3">
        <f t="shared" ca="1" si="0"/>
        <v>4.5857181942544472</v>
      </c>
      <c r="J12" s="9">
        <v>0</v>
      </c>
      <c r="K12" s="4">
        <f t="shared" ca="1" si="1"/>
        <v>17.238385772913823</v>
      </c>
    </row>
    <row r="13" spans="1:15" x14ac:dyDescent="0.4">
      <c r="A13" t="s">
        <v>10</v>
      </c>
      <c r="B13">
        <v>288.89999999999998</v>
      </c>
      <c r="C13">
        <v>0.03</v>
      </c>
      <c r="D13">
        <v>8.8000000000000007</v>
      </c>
      <c r="E13">
        <v>10000</v>
      </c>
      <c r="F13" cm="1">
        <f t="array" aca="1" ref="F13" ca="1">IFERROR(MATCH(TRUE, INDEX(ISNUMBER(FIND("control", INDIRECT("A" &amp; ROW() + 1 &amp; ":A1000"))), 0), 0) + ROW(), ROW())</f>
        <v>33</v>
      </c>
      <c r="G13">
        <v>1</v>
      </c>
      <c r="H13" s="3" cm="1">
        <f t="array" aca="1" ref="H13" ca="1">(B13-INDEX(B:B,F13))/INDEX(B:B,F13)/G13</f>
        <v>7.8079268292682924</v>
      </c>
      <c r="I13" s="3">
        <f t="shared" ca="1" si="0"/>
        <v>4.5857181942544472</v>
      </c>
      <c r="J13" s="9">
        <v>0</v>
      </c>
      <c r="K13" s="4">
        <f t="shared" ca="1" si="1"/>
        <v>35.804952120383042</v>
      </c>
      <c r="N13" s="3" t="s">
        <v>463</v>
      </c>
    </row>
    <row r="14" spans="1:15" x14ac:dyDescent="0.4">
      <c r="A14" t="s">
        <v>11</v>
      </c>
      <c r="B14">
        <v>315.60000000000002</v>
      </c>
      <c r="C14">
        <v>0.03</v>
      </c>
      <c r="D14">
        <v>9.6</v>
      </c>
      <c r="E14">
        <v>10000</v>
      </c>
      <c r="F14" cm="1">
        <f t="array" aca="1" ref="F14" ca="1">IFERROR(MATCH(TRUE, INDEX(ISNUMBER(FIND("control", INDIRECT("A" &amp; ROW() + 1 &amp; ":A1000"))), 0), 0) + ROW(), ROW())</f>
        <v>33</v>
      </c>
      <c r="G14">
        <v>1</v>
      </c>
      <c r="H14" s="3" cm="1">
        <f t="array" aca="1" ref="H14" ca="1">(B14-INDEX(B:B,F14))/INDEX(B:B,F14)/G14</f>
        <v>8.6219512195121961</v>
      </c>
      <c r="I14" s="3">
        <f t="shared" ca="1" si="0"/>
        <v>4.5857181942544472</v>
      </c>
      <c r="J14" s="9">
        <v>0</v>
      </c>
      <c r="K14" s="4">
        <f t="shared" ca="1" si="1"/>
        <v>39.537838577291396</v>
      </c>
    </row>
    <row r="15" spans="1:15" x14ac:dyDescent="0.4">
      <c r="A15" t="s">
        <v>12</v>
      </c>
      <c r="B15">
        <v>4394.3999999999996</v>
      </c>
      <c r="C15">
        <v>0.44</v>
      </c>
      <c r="D15">
        <v>134</v>
      </c>
      <c r="E15">
        <v>10000</v>
      </c>
      <c r="F15" cm="1">
        <f t="array" aca="1" ref="F15" ca="1">IFERROR(MATCH(TRUE, INDEX(ISNUMBER(FIND("control", INDIRECT("A" &amp; ROW() + 1 &amp; ":A1000"))), 0), 0) + ROW(), ROW())</f>
        <v>33</v>
      </c>
      <c r="G15">
        <v>2</v>
      </c>
      <c r="H15" s="3" cm="1">
        <f t="array" aca="1" ref="H15" ca="1">(B15-INDEX(B:B,F15))/INDEX(B:B,F15)/G15</f>
        <v>66.487804878048777</v>
      </c>
      <c r="I15" s="3">
        <f t="shared" ca="1" si="0"/>
        <v>4.5857181942544472</v>
      </c>
      <c r="J15" s="9">
        <v>0</v>
      </c>
      <c r="K15" s="4">
        <f t="shared" ca="1" si="1"/>
        <v>304.89433652530784</v>
      </c>
    </row>
    <row r="16" spans="1:15" x14ac:dyDescent="0.4">
      <c r="A16" t="s">
        <v>13</v>
      </c>
      <c r="B16">
        <v>2264.5</v>
      </c>
      <c r="C16">
        <v>0.23</v>
      </c>
      <c r="D16">
        <v>69</v>
      </c>
      <c r="E16">
        <v>10000</v>
      </c>
      <c r="F16" cm="1">
        <f t="array" aca="1" ref="F16" ca="1">IFERROR(MATCH(TRUE, INDEX(ISNUMBER(FIND("control", INDIRECT("A" &amp; ROW() + 1 &amp; ":A1000"))), 0), 0) + ROW(), ROW())</f>
        <v>33</v>
      </c>
      <c r="G16">
        <v>1</v>
      </c>
      <c r="H16" s="3" cm="1">
        <f t="array" aca="1" ref="H16" ca="1">(B16-INDEX(B:B,F16))/INDEX(B:B,F16)/G16</f>
        <v>68.03963414634147</v>
      </c>
      <c r="I16" s="3">
        <f t="shared" ca="1" si="0"/>
        <v>4.5857181942544472</v>
      </c>
      <c r="J16" s="9">
        <v>0</v>
      </c>
      <c r="K16" s="4">
        <f t="shared" ca="1" si="1"/>
        <v>312.01058823529422</v>
      </c>
    </row>
    <row r="17" spans="1:11" x14ac:dyDescent="0.4">
      <c r="A17" t="s">
        <v>14</v>
      </c>
      <c r="B17">
        <v>241.5</v>
      </c>
      <c r="C17">
        <v>0.02</v>
      </c>
      <c r="D17">
        <v>7.4</v>
      </c>
      <c r="E17">
        <v>10000</v>
      </c>
      <c r="F17" cm="1">
        <f t="array" aca="1" ref="F17" ca="1">IFERROR(MATCH(TRUE, INDEX(ISNUMBER(FIND("control", INDIRECT("A" &amp; ROW() + 1 &amp; ":A1000"))), 0), 0) + ROW(), ROW())</f>
        <v>33</v>
      </c>
      <c r="G17">
        <v>2</v>
      </c>
      <c r="H17" s="3" cm="1">
        <f t="array" aca="1" ref="H17" ca="1">(B17-INDEX(B:B,F17))/INDEX(B:B,F17)/G17</f>
        <v>3.1814024390243905</v>
      </c>
      <c r="I17" s="3">
        <f t="shared" ca="1" si="0"/>
        <v>4.5857181942544472</v>
      </c>
      <c r="J17" s="9">
        <v>0</v>
      </c>
      <c r="K17" s="4">
        <f t="shared" ca="1" si="1"/>
        <v>14.589015047879622</v>
      </c>
    </row>
    <row r="18" spans="1:11" x14ac:dyDescent="0.4">
      <c r="A18" t="s">
        <v>15</v>
      </c>
      <c r="B18">
        <v>176.5</v>
      </c>
      <c r="C18">
        <v>0.02</v>
      </c>
      <c r="D18">
        <v>5.4</v>
      </c>
      <c r="E18">
        <v>10000</v>
      </c>
      <c r="F18" cm="1">
        <f t="array" aca="1" ref="F18" ca="1">IFERROR(MATCH(TRUE, INDEX(ISNUMBER(FIND("control", INDIRECT("A" &amp; ROW() + 1 &amp; ":A1000"))), 0), 0) + ROW(), ROW())</f>
        <v>33</v>
      </c>
      <c r="G18">
        <v>1</v>
      </c>
      <c r="H18" s="3" cm="1">
        <f t="array" aca="1" ref="H18" ca="1">(B18-INDEX(B:B,F18))/INDEX(B:B,F18)/G18</f>
        <v>4.3810975609756095</v>
      </c>
      <c r="I18" s="3">
        <f t="shared" ca="1" si="0"/>
        <v>4.5857181942544472</v>
      </c>
      <c r="J18" s="9">
        <v>0</v>
      </c>
      <c r="K18" s="4">
        <f t="shared" ca="1" si="1"/>
        <v>20.090478796169634</v>
      </c>
    </row>
    <row r="19" spans="1:11" x14ac:dyDescent="0.4">
      <c r="A19" t="s">
        <v>16</v>
      </c>
      <c r="B19">
        <v>202.9</v>
      </c>
      <c r="C19">
        <v>0.02</v>
      </c>
      <c r="D19">
        <v>6.2</v>
      </c>
      <c r="E19">
        <v>10000</v>
      </c>
      <c r="F19" cm="1">
        <f t="array" aca="1" ref="F19" ca="1">IFERROR(MATCH(TRUE, INDEX(ISNUMBER(FIND("control", INDIRECT("A" &amp; ROW() + 1 &amp; ":A1000"))), 0), 0) + ROW(), ROW())</f>
        <v>33</v>
      </c>
      <c r="G19">
        <v>1</v>
      </c>
      <c r="H19" s="3" cm="1">
        <f t="array" aca="1" ref="H19" ca="1">(B19-INDEX(B:B,F19))/INDEX(B:B,F19)/G19</f>
        <v>5.1859756097560989</v>
      </c>
      <c r="I19" s="3">
        <f t="shared" ca="1" si="0"/>
        <v>4.5857181942544472</v>
      </c>
      <c r="J19" s="9">
        <v>0</v>
      </c>
      <c r="K19" s="4">
        <f t="shared" ca="1" si="1"/>
        <v>23.781422708618344</v>
      </c>
    </row>
    <row r="20" spans="1:11" x14ac:dyDescent="0.4">
      <c r="A20" t="s">
        <v>17</v>
      </c>
      <c r="B20">
        <v>127.2</v>
      </c>
      <c r="C20">
        <v>0.01</v>
      </c>
      <c r="D20">
        <v>3.9</v>
      </c>
      <c r="E20">
        <v>10000</v>
      </c>
      <c r="F20" cm="1">
        <f t="array" aca="1" ref="F20" ca="1">IFERROR(MATCH(TRUE, INDEX(ISNUMBER(FIND("control", INDIRECT("A" &amp; ROW() + 1 &amp; ":A1000"))), 0), 0) + ROW(), ROW())</f>
        <v>33</v>
      </c>
      <c r="G20">
        <v>1</v>
      </c>
      <c r="H20" s="3" cm="1">
        <f t="array" aca="1" ref="H20" ca="1">(B20-INDEX(B:B,F20))/INDEX(B:B,F20)/G20</f>
        <v>2.8780487804878052</v>
      </c>
      <c r="I20" s="3">
        <f t="shared" ca="1" si="0"/>
        <v>4.5857181942544472</v>
      </c>
      <c r="J20" s="9">
        <v>0</v>
      </c>
      <c r="K20" s="4">
        <f t="shared" ca="1" si="1"/>
        <v>13.197920656634752</v>
      </c>
    </row>
    <row r="21" spans="1:11" x14ac:dyDescent="0.4">
      <c r="A21" t="s">
        <v>18</v>
      </c>
      <c r="B21">
        <v>157.1</v>
      </c>
      <c r="C21">
        <v>0.02</v>
      </c>
      <c r="D21">
        <v>4.8</v>
      </c>
      <c r="E21">
        <v>10000</v>
      </c>
      <c r="F21" cm="1">
        <f t="array" aca="1" ref="F21" ca="1">IFERROR(MATCH(TRUE, INDEX(ISNUMBER(FIND("control", INDIRECT("A" &amp; ROW() + 1 &amp; ":A1000"))), 0), 0) + ROW(), ROW())</f>
        <v>33</v>
      </c>
      <c r="G21">
        <v>1</v>
      </c>
      <c r="H21" s="3" cm="1">
        <f t="array" aca="1" ref="H21" ca="1">(B21-INDEX(B:B,F21))/INDEX(B:B,F21)/G21</f>
        <v>3.7896341463414638</v>
      </c>
      <c r="I21" s="3">
        <f t="shared" ca="1" si="0"/>
        <v>4.5857181942544472</v>
      </c>
      <c r="J21" s="9">
        <v>0</v>
      </c>
      <c r="K21" s="4">
        <f t="shared" ca="1" si="1"/>
        <v>17.378194254445969</v>
      </c>
    </row>
    <row r="22" spans="1:11" x14ac:dyDescent="0.4">
      <c r="A22" t="s">
        <v>19</v>
      </c>
      <c r="B22">
        <v>2528.9</v>
      </c>
      <c r="C22">
        <v>0.25</v>
      </c>
      <c r="D22">
        <v>77.099999999999994</v>
      </c>
      <c r="E22">
        <v>10000</v>
      </c>
      <c r="F22" cm="1">
        <f t="array" aca="1" ref="F22" ca="1">IFERROR(MATCH(TRUE, INDEX(ISNUMBER(FIND("control", INDIRECT("A" &amp; ROW() + 1 &amp; ":A1000"))), 0), 0) + ROW(), ROW())</f>
        <v>33</v>
      </c>
      <c r="G22">
        <v>1</v>
      </c>
      <c r="H22" s="3" cm="1">
        <f t="array" aca="1" ref="H22" ca="1">(B22-INDEX(B:B,F22))/INDEX(B:B,F22)/G22</f>
        <v>76.100609756097569</v>
      </c>
      <c r="I22" s="3">
        <f t="shared" ca="1" si="0"/>
        <v>4.5857181942544472</v>
      </c>
      <c r="J22" s="9">
        <v>0</v>
      </c>
      <c r="K22" s="4">
        <f t="shared" ca="1" si="1"/>
        <v>348.97595075239411</v>
      </c>
    </row>
    <row r="23" spans="1:11" x14ac:dyDescent="0.4">
      <c r="A23" t="s">
        <v>20</v>
      </c>
      <c r="B23">
        <v>2437.3000000000002</v>
      </c>
      <c r="C23">
        <v>0.24</v>
      </c>
      <c r="D23">
        <v>74.3</v>
      </c>
      <c r="E23">
        <v>10000</v>
      </c>
      <c r="F23" cm="1">
        <f t="array" aca="1" ref="F23" ca="1">IFERROR(MATCH(TRUE, INDEX(ISNUMBER(FIND("control", INDIRECT("A" &amp; ROW() + 1 &amp; ":A1000"))), 0), 0) + ROW(), ROW())</f>
        <v>33</v>
      </c>
      <c r="G23">
        <v>1</v>
      </c>
      <c r="H23" s="3" cm="1">
        <f t="array" aca="1" ref="H23" ca="1">(B23-INDEX(B:B,F23))/INDEX(B:B,F23)/G23</f>
        <v>73.307926829268297</v>
      </c>
      <c r="I23" s="3">
        <f t="shared" ca="1" si="0"/>
        <v>4.5857181942544472</v>
      </c>
      <c r="J23" s="9">
        <v>0</v>
      </c>
      <c r="K23" s="4">
        <f t="shared" ca="1" si="1"/>
        <v>336.16949384404933</v>
      </c>
    </row>
    <row r="24" spans="1:11" x14ac:dyDescent="0.4">
      <c r="A24" t="s">
        <v>21</v>
      </c>
      <c r="B24">
        <v>1217.5</v>
      </c>
      <c r="C24">
        <v>0.12</v>
      </c>
      <c r="D24">
        <v>37.1</v>
      </c>
      <c r="E24">
        <v>10000</v>
      </c>
      <c r="F24" cm="1">
        <f t="array" aca="1" ref="F24" ca="1">IFERROR(MATCH(TRUE, INDEX(ISNUMBER(FIND("control", INDIRECT("A" &amp; ROW() + 1 &amp; ":A1000"))), 0), 0) + ROW(), ROW())</f>
        <v>33</v>
      </c>
      <c r="G24">
        <v>1</v>
      </c>
      <c r="H24" s="3" cm="1">
        <f t="array" aca="1" ref="H24" ca="1">(B24-INDEX(B:B,F24))/INDEX(B:B,F24)/G24</f>
        <v>36.118902439024396</v>
      </c>
      <c r="I24" s="3">
        <f t="shared" ca="1" si="0"/>
        <v>4.5857181942544472</v>
      </c>
      <c r="J24" s="9">
        <v>0</v>
      </c>
      <c r="K24" s="4">
        <f t="shared" ca="1" si="1"/>
        <v>165.63110807113549</v>
      </c>
    </row>
    <row r="25" spans="1:11" x14ac:dyDescent="0.4">
      <c r="A25" t="s">
        <v>22</v>
      </c>
      <c r="B25">
        <v>1371.8</v>
      </c>
      <c r="C25">
        <v>0.14000000000000001</v>
      </c>
      <c r="D25">
        <v>41.8</v>
      </c>
      <c r="E25">
        <v>10000</v>
      </c>
      <c r="F25" cm="1">
        <f t="array" aca="1" ref="F25" ca="1">IFERROR(MATCH(TRUE, INDEX(ISNUMBER(FIND("control", INDIRECT("A" &amp; ROW() + 1 &amp; ":A1000"))), 0), 0) + ROW(), ROW())</f>
        <v>33</v>
      </c>
      <c r="G25">
        <v>1</v>
      </c>
      <c r="H25" s="3" cm="1">
        <f t="array" aca="1" ref="H25" ca="1">(B25-INDEX(B:B,F25))/INDEX(B:B,F25)/G25</f>
        <v>40.823170731707322</v>
      </c>
      <c r="I25" s="3">
        <f t="shared" ca="1" si="0"/>
        <v>4.5857181942544472</v>
      </c>
      <c r="J25" s="9">
        <v>0</v>
      </c>
      <c r="K25" s="4">
        <f t="shared" ca="1" si="1"/>
        <v>187.20355677154589</v>
      </c>
    </row>
    <row r="26" spans="1:11" x14ac:dyDescent="0.4">
      <c r="A26" t="s">
        <v>23</v>
      </c>
      <c r="B26">
        <v>124.1</v>
      </c>
      <c r="C26">
        <v>0.01</v>
      </c>
      <c r="D26">
        <v>3.8</v>
      </c>
      <c r="E26">
        <v>10000</v>
      </c>
      <c r="F26" cm="1">
        <f t="array" aca="1" ref="F26" ca="1">IFERROR(MATCH(TRUE, INDEX(ISNUMBER(FIND("control", INDIRECT("A" &amp; ROW() + 1 &amp; ":A1000"))), 0), 0) + ROW(), ROW())</f>
        <v>33</v>
      </c>
      <c r="G26">
        <v>1</v>
      </c>
      <c r="H26" s="3" cm="1">
        <f t="array" aca="1" ref="H26" ca="1">(B26-INDEX(B:B,F26))/INDEX(B:B,F26)/G26</f>
        <v>2.7835365853658538</v>
      </c>
      <c r="I26" s="3">
        <f t="shared" ca="1" si="0"/>
        <v>4.5857181942544472</v>
      </c>
      <c r="J26" s="9">
        <v>0</v>
      </c>
      <c r="K26" s="4">
        <f t="shared" ca="1" si="1"/>
        <v>12.764514363885093</v>
      </c>
    </row>
    <row r="27" spans="1:11" x14ac:dyDescent="0.4">
      <c r="A27" t="s">
        <v>24</v>
      </c>
      <c r="B27">
        <v>117.5</v>
      </c>
      <c r="C27">
        <v>0.01</v>
      </c>
      <c r="D27">
        <v>3.6</v>
      </c>
      <c r="E27">
        <v>10000</v>
      </c>
      <c r="F27" cm="1">
        <f t="array" aca="1" ref="F27" ca="1">IFERROR(MATCH(TRUE, INDEX(ISNUMBER(FIND("control", INDIRECT("A" &amp; ROW() + 1 &amp; ":A1000"))), 0), 0) + ROW(), ROW())</f>
        <v>33</v>
      </c>
      <c r="G27">
        <v>1</v>
      </c>
      <c r="H27" s="3" cm="1">
        <f t="array" aca="1" ref="H27" ca="1">(B27-INDEX(B:B,F27))/INDEX(B:B,F27)/G27</f>
        <v>2.5823170731707319</v>
      </c>
      <c r="I27" s="3">
        <f t="shared" ca="1" si="0"/>
        <v>4.5857181942544472</v>
      </c>
      <c r="J27" s="9">
        <v>0</v>
      </c>
      <c r="K27" s="4">
        <f t="shared" ca="1" si="1"/>
        <v>11.841778385772917</v>
      </c>
    </row>
    <row r="28" spans="1:11" x14ac:dyDescent="0.4">
      <c r="A28" t="s">
        <v>25</v>
      </c>
      <c r="B28">
        <v>2308.4</v>
      </c>
      <c r="C28">
        <v>0.23</v>
      </c>
      <c r="D28">
        <v>70.400000000000006</v>
      </c>
      <c r="E28">
        <v>10000</v>
      </c>
      <c r="F28" cm="1">
        <f t="array" aca="1" ref="F28" ca="1">IFERROR(MATCH(TRUE, INDEX(ISNUMBER(FIND("control", INDIRECT("A" &amp; ROW() + 1 &amp; ":A1000"))), 0), 0) + ROW(), ROW())</f>
        <v>33</v>
      </c>
      <c r="G28">
        <v>1</v>
      </c>
      <c r="H28" s="3" cm="1">
        <f t="array" aca="1" ref="H28" ca="1">(B28-INDEX(B:B,F28))/INDEX(B:B,F28)/G28</f>
        <v>69.378048780487802</v>
      </c>
      <c r="I28" s="3">
        <f t="shared" ca="1" si="0"/>
        <v>4.5857181942544472</v>
      </c>
      <c r="J28" s="9">
        <v>0</v>
      </c>
      <c r="K28" s="4">
        <f t="shared" ca="1" si="1"/>
        <v>318.14818057455545</v>
      </c>
    </row>
    <row r="29" spans="1:11" x14ac:dyDescent="0.4">
      <c r="A29" t="s">
        <v>26</v>
      </c>
      <c r="B29">
        <v>231.3</v>
      </c>
      <c r="C29">
        <v>0.02</v>
      </c>
      <c r="D29">
        <v>7.1</v>
      </c>
      <c r="E29">
        <v>10000</v>
      </c>
      <c r="F29" cm="1">
        <f t="array" aca="1" ref="F29" ca="1">IFERROR(MATCH(TRUE, INDEX(ISNUMBER(FIND("control", INDIRECT("A" &amp; ROW() + 1 &amp; ":A1000"))), 0), 0) + ROW(), ROW())</f>
        <v>33</v>
      </c>
      <c r="G29">
        <v>1</v>
      </c>
      <c r="H29" s="3" cm="1">
        <f t="array" aca="1" ref="H29" ca="1">(B29-INDEX(B:B,F29))/INDEX(B:B,F29)/G29</f>
        <v>6.0518292682926838</v>
      </c>
      <c r="I29" s="3">
        <f t="shared" ca="1" si="0"/>
        <v>4.5857181942544472</v>
      </c>
      <c r="J29" s="9">
        <v>0</v>
      </c>
      <c r="K29" s="4">
        <f t="shared" ca="1" si="1"/>
        <v>27.751983584131338</v>
      </c>
    </row>
    <row r="30" spans="1:11" x14ac:dyDescent="0.4">
      <c r="A30" t="s">
        <v>27</v>
      </c>
      <c r="B30">
        <v>83</v>
      </c>
      <c r="C30">
        <v>0.01</v>
      </c>
      <c r="D30">
        <v>2.5</v>
      </c>
      <c r="E30">
        <v>10000</v>
      </c>
      <c r="F30" cm="1">
        <f t="array" aca="1" ref="F30" ca="1">IFERROR(MATCH(TRUE, INDEX(ISNUMBER(FIND("control", INDIRECT("A" &amp; ROW() + 1 &amp; ":A1000"))), 0), 0) + ROW(), ROW())</f>
        <v>33</v>
      </c>
      <c r="G30">
        <v>1</v>
      </c>
      <c r="H30" s="3" cm="1">
        <f t="array" aca="1" ref="H30" ca="1">(B30-INDEX(B:B,F30))/INDEX(B:B,F30)/G30</f>
        <v>1.530487804878049</v>
      </c>
      <c r="I30" s="3">
        <f t="shared" ca="1" si="0"/>
        <v>4.5857181942544472</v>
      </c>
      <c r="J30" s="9">
        <v>0</v>
      </c>
      <c r="K30" s="4">
        <f t="shared" ca="1" si="1"/>
        <v>7.0183857729138195</v>
      </c>
    </row>
    <row r="31" spans="1:11" x14ac:dyDescent="0.4">
      <c r="A31" t="s">
        <v>28</v>
      </c>
      <c r="B31">
        <v>91.6</v>
      </c>
      <c r="C31">
        <v>0.01</v>
      </c>
      <c r="D31">
        <v>2.8</v>
      </c>
      <c r="E31">
        <v>10000</v>
      </c>
      <c r="F31" cm="1">
        <f t="array" aca="1" ref="F31" ca="1">IFERROR(MATCH(TRUE, INDEX(ISNUMBER(FIND("control", INDIRECT("A" &amp; ROW() + 1 &amp; ":A1000"))), 0), 0) + ROW(), ROW())</f>
        <v>33</v>
      </c>
      <c r="G31">
        <v>1</v>
      </c>
      <c r="H31" s="3" cm="1">
        <f t="array" aca="1" ref="H31" ca="1">(B31-INDEX(B:B,F31))/INDEX(B:B,F31)/G31</f>
        <v>1.7926829268292683</v>
      </c>
      <c r="I31" s="3">
        <f t="shared" ca="1" si="0"/>
        <v>4.5857181942544472</v>
      </c>
      <c r="J31" s="9">
        <v>0</v>
      </c>
      <c r="K31" s="4">
        <f t="shared" ca="1" si="1"/>
        <v>8.2207387140902899</v>
      </c>
    </row>
    <row r="32" spans="1:11" x14ac:dyDescent="0.4">
      <c r="A32" t="s">
        <v>29</v>
      </c>
      <c r="B32">
        <v>72.5</v>
      </c>
      <c r="C32">
        <v>0.01</v>
      </c>
      <c r="D32">
        <v>2.2000000000000002</v>
      </c>
      <c r="E32">
        <v>10000</v>
      </c>
      <c r="F32" cm="1">
        <f t="array" aca="1" ref="F32" ca="1">IFERROR(MATCH(TRUE, INDEX(ISNUMBER(FIND("control", INDIRECT("A" &amp; ROW() + 1 &amp; ":A1000"))), 0), 0) + ROW(), ROW())</f>
        <v>33</v>
      </c>
      <c r="G32">
        <v>1</v>
      </c>
      <c r="H32" s="3" cm="1">
        <f t="array" aca="1" ref="H32" ca="1">(B32-INDEX(B:B,F32))/INDEX(B:B,F32)/G32</f>
        <v>1.2103658536585369</v>
      </c>
      <c r="I32" s="3">
        <f t="shared" ca="1" si="0"/>
        <v>4.5857181942544472</v>
      </c>
      <c r="J32" s="9">
        <v>0</v>
      </c>
      <c r="K32" s="4">
        <f t="shared" ca="1" si="1"/>
        <v>5.5503967168262678</v>
      </c>
    </row>
    <row r="33" spans="1:11" x14ac:dyDescent="0.4">
      <c r="A33" t="s">
        <v>126</v>
      </c>
      <c r="B33">
        <v>32.799999999999997</v>
      </c>
      <c r="C33">
        <v>0</v>
      </c>
      <c r="D33">
        <v>1</v>
      </c>
      <c r="E33">
        <v>10000</v>
      </c>
      <c r="F33" cm="1">
        <f t="array" aca="1" ref="F33" ca="1">IFERROR(MATCH(TRUE, INDEX(ISNUMBER(FIND("control", INDIRECT("A" &amp; ROW() + 1 &amp; ":A1000"))), 0), 0) + ROW(), ROW())</f>
        <v>40</v>
      </c>
      <c r="G33">
        <v>1</v>
      </c>
      <c r="H33" s="3" cm="1">
        <f t="array" aca="1" ref="H33" ca="1">(B33-INDEX(B:B,F33))/INDEX(B:B,F33)/G33</f>
        <v>-0.79877300613496927</v>
      </c>
      <c r="I33" s="3">
        <f t="shared" ca="1" si="0"/>
        <v>4.5857181942544472</v>
      </c>
      <c r="J33" s="9">
        <v>0</v>
      </c>
      <c r="K33" s="4">
        <f t="shared" ca="1" si="1"/>
        <v>0.1</v>
      </c>
    </row>
    <row r="34" spans="1:11" x14ac:dyDescent="0.4">
      <c r="A34" t="s">
        <v>30</v>
      </c>
      <c r="B34">
        <v>385.4</v>
      </c>
      <c r="C34">
        <v>0.01</v>
      </c>
      <c r="D34">
        <v>42.8</v>
      </c>
      <c r="E34">
        <v>50000</v>
      </c>
      <c r="F34" cm="1">
        <f t="array" aca="1" ref="F34" ca="1">IFERROR(MATCH(TRUE, INDEX(ISNUMBER(FIND("control", INDIRECT("A" &amp; ROW() + 1 &amp; ":A1000"))), 0), 0) + ROW(), ROW())</f>
        <v>40</v>
      </c>
      <c r="G34">
        <v>1</v>
      </c>
      <c r="H34" s="3" cm="1">
        <f t="array" aca="1" ref="H34" ca="1">(B34-INDEX(B:B,F34))/INDEX(B:B,F34)/G34</f>
        <v>1.3644171779141103</v>
      </c>
      <c r="I34" s="3">
        <f t="shared" ca="1" si="0"/>
        <v>4.5857181942544472</v>
      </c>
      <c r="J34" s="9">
        <v>0</v>
      </c>
      <c r="K34" s="4">
        <f t="shared" ca="1" si="1"/>
        <v>6.2568326773140424</v>
      </c>
    </row>
    <row r="35" spans="1:11" x14ac:dyDescent="0.4">
      <c r="A35" t="s">
        <v>291</v>
      </c>
      <c r="B35">
        <v>435.16</v>
      </c>
      <c r="C35">
        <v>0.01</v>
      </c>
      <c r="D35">
        <v>48.3</v>
      </c>
      <c r="E35">
        <v>50000</v>
      </c>
      <c r="F35" cm="1">
        <f t="array" aca="1" ref="F35" ca="1">IFERROR(MATCH(TRUE, INDEX(ISNUMBER(FIND("control", INDIRECT("A" &amp; ROW() + 1 &amp; ":A1000"))), 0), 0) + ROW(), ROW())</f>
        <v>40</v>
      </c>
      <c r="G35">
        <v>1</v>
      </c>
      <c r="H35" s="3" cm="1">
        <f t="array" aca="1" ref="H35" ca="1">(B35-INDEX(B:B,F35))/INDEX(B:B,F35)/G35</f>
        <v>1.6696932515337426</v>
      </c>
      <c r="I35" s="3">
        <f t="shared" ca="1" si="0"/>
        <v>4.5857181942544472</v>
      </c>
      <c r="J35" s="9">
        <v>0</v>
      </c>
      <c r="K35" s="4">
        <f t="shared" ca="1" si="1"/>
        <v>7.6567427223821509</v>
      </c>
    </row>
    <row r="36" spans="1:11" x14ac:dyDescent="0.4">
      <c r="A36" t="s">
        <v>31</v>
      </c>
      <c r="B36">
        <v>228.4</v>
      </c>
      <c r="C36">
        <v>0</v>
      </c>
      <c r="D36">
        <v>25.4</v>
      </c>
      <c r="E36">
        <v>50000</v>
      </c>
      <c r="F36" cm="1">
        <f t="array" aca="1" ref="F36" ca="1">IFERROR(MATCH(TRUE, INDEX(ISNUMBER(FIND("control", INDIRECT("A" &amp; ROW() + 1 &amp; ":A1000"))), 0), 0) + ROW(), ROW())</f>
        <v>40</v>
      </c>
      <c r="G36">
        <v>1</v>
      </c>
      <c r="H36" s="3" cm="1">
        <f t="array" aca="1" ref="H36" ca="1">(B36-INDEX(B:B,F36))/INDEX(B:B,F36)/G36</f>
        <v>0.40122699386503069</v>
      </c>
      <c r="I36" s="3">
        <f t="shared" ca="1" si="0"/>
        <v>4.5857181942544472</v>
      </c>
      <c r="J36" s="9">
        <v>0</v>
      </c>
      <c r="K36" s="4">
        <f t="shared" ca="1" si="1"/>
        <v>1.8399139257928887</v>
      </c>
    </row>
    <row r="37" spans="1:11" x14ac:dyDescent="0.4">
      <c r="A37" t="s">
        <v>32</v>
      </c>
      <c r="B37">
        <v>336.2</v>
      </c>
      <c r="C37">
        <v>0.01</v>
      </c>
      <c r="D37">
        <v>37.4</v>
      </c>
      <c r="E37">
        <v>50000</v>
      </c>
      <c r="F37" cm="1">
        <f t="array" aca="1" ref="F37" ca="1">IFERROR(MATCH(TRUE, INDEX(ISNUMBER(FIND("control", INDIRECT("A" &amp; ROW() + 1 &amp; ":A1000"))), 0), 0) + ROW(), ROW())</f>
        <v>40</v>
      </c>
      <c r="G37">
        <v>1</v>
      </c>
      <c r="H37" s="3" cm="1">
        <f t="array" aca="1" ref="H37" ca="1">(B37-INDEX(B:B,F37))/INDEX(B:B,F37)/G37</f>
        <v>1.0625766871165643</v>
      </c>
      <c r="I37" s="3">
        <f t="shared" ca="1" si="0"/>
        <v>4.5857181942544472</v>
      </c>
      <c r="J37" s="9">
        <v>0</v>
      </c>
      <c r="K37" s="4">
        <f t="shared" ca="1" si="1"/>
        <v>4.872677246901044</v>
      </c>
    </row>
    <row r="38" spans="1:11" x14ac:dyDescent="0.4">
      <c r="A38" t="s">
        <v>33</v>
      </c>
      <c r="B38">
        <v>257</v>
      </c>
      <c r="C38">
        <v>0.01</v>
      </c>
      <c r="D38">
        <v>28.6</v>
      </c>
      <c r="E38">
        <v>50000</v>
      </c>
      <c r="F38" cm="1">
        <f t="array" aca="1" ref="F38" ca="1">IFERROR(MATCH(TRUE, INDEX(ISNUMBER(FIND("control", INDIRECT("A" &amp; ROW() + 1 &amp; ":A1000"))), 0), 0) + ROW(), ROW())</f>
        <v>40</v>
      </c>
      <c r="G38">
        <v>1</v>
      </c>
      <c r="H38" s="3" cm="1">
        <f t="array" aca="1" ref="H38" ca="1">(B38-INDEX(B:B,F38))/INDEX(B:B,F38)/G38</f>
        <v>0.57668711656441718</v>
      </c>
      <c r="I38" s="3">
        <f t="shared" ca="1" si="0"/>
        <v>4.5857181942544472</v>
      </c>
      <c r="J38" s="9">
        <v>0</v>
      </c>
      <c r="K38" s="4">
        <f t="shared" ca="1" si="1"/>
        <v>2.644524602821583</v>
      </c>
    </row>
    <row r="39" spans="1:11" x14ac:dyDescent="0.4">
      <c r="A39" t="s">
        <v>34</v>
      </c>
      <c r="B39">
        <v>261.7</v>
      </c>
      <c r="C39">
        <v>0.01</v>
      </c>
      <c r="D39">
        <v>29.1</v>
      </c>
      <c r="E39">
        <v>50000</v>
      </c>
      <c r="F39" cm="1">
        <f t="array" aca="1" ref="F39" ca="1">IFERROR(MATCH(TRUE, INDEX(ISNUMBER(FIND("control", INDIRECT("A" &amp; ROW() + 1 &amp; ":A1000"))), 0), 0) + ROW(), ROW())</f>
        <v>40</v>
      </c>
      <c r="G39">
        <v>1</v>
      </c>
      <c r="H39" s="3" cm="1">
        <f t="array" aca="1" ref="H39" ca="1">(B39-INDEX(B:B,F39))/INDEX(B:B,F39)/G39</f>
        <v>0.60552147239263798</v>
      </c>
      <c r="I39" s="3">
        <f t="shared" ca="1" si="0"/>
        <v>4.5857181942544472</v>
      </c>
      <c r="J39" s="9">
        <v>0</v>
      </c>
      <c r="K39" s="4">
        <f t="shared" ca="1" si="1"/>
        <v>2.7767508329626618</v>
      </c>
    </row>
    <row r="40" spans="1:11" x14ac:dyDescent="0.4">
      <c r="A40" t="s">
        <v>116</v>
      </c>
      <c r="B40">
        <v>163</v>
      </c>
      <c r="C40">
        <v>0</v>
      </c>
      <c r="D40">
        <v>18.100000000000001</v>
      </c>
      <c r="E40">
        <v>50000</v>
      </c>
      <c r="F40" cm="1">
        <f t="array" aca="1" ref="F40" ca="1">IFERROR(MATCH(TRUE, INDEX(ISNUMBER(FIND("control", INDIRECT("A" &amp; ROW() + 1 &amp; ":A1000"))), 0), 0) + ROW(), ROW())</f>
        <v>42</v>
      </c>
      <c r="G40">
        <v>1</v>
      </c>
      <c r="H40" s="3" cm="1">
        <f t="array" aca="1" ref="H40" ca="1">(B40-INDEX(B:B,F40))/INDEX(B:B,F40)/G40</f>
        <v>-7.1753986332574002E-2</v>
      </c>
      <c r="I40" s="3">
        <f t="shared" ca="1" si="0"/>
        <v>4.5857181942544472</v>
      </c>
      <c r="J40" s="9">
        <v>0</v>
      </c>
      <c r="K40" s="4">
        <f t="shared" ca="1" si="1"/>
        <v>0.1</v>
      </c>
    </row>
    <row r="41" spans="1:11" x14ac:dyDescent="0.4">
      <c r="A41" t="s">
        <v>35</v>
      </c>
      <c r="B41">
        <v>3200.6</v>
      </c>
      <c r="C41">
        <v>0.06</v>
      </c>
      <c r="D41">
        <v>355.6</v>
      </c>
      <c r="E41">
        <v>50000</v>
      </c>
      <c r="F41" cm="1">
        <f t="array" aca="1" ref="F41" ca="1">IFERROR(MATCH(TRUE, INDEX(ISNUMBER(FIND("control", INDIRECT("A" &amp; ROW() + 1 &amp; ":A1000"))), 0), 0) + ROW(), ROW())</f>
        <v>42</v>
      </c>
      <c r="G41">
        <v>1</v>
      </c>
      <c r="H41" s="3" cm="1">
        <f t="array" aca="1" ref="H41" ca="1">(B41-INDEX(B:B,F41))/INDEX(B:B,F41)/G41</f>
        <v>17.226651480637813</v>
      </c>
      <c r="I41" s="3">
        <f t="shared" ca="1" si="0"/>
        <v>4.5857181942544472</v>
      </c>
      <c r="J41" s="9">
        <v>0</v>
      </c>
      <c r="K41" s="4">
        <f t="shared" ca="1" si="1"/>
        <v>78.99656912084113</v>
      </c>
    </row>
    <row r="42" spans="1:11" x14ac:dyDescent="0.4">
      <c r="A42" t="s">
        <v>117</v>
      </c>
      <c r="B42">
        <v>175.6</v>
      </c>
      <c r="C42">
        <v>0</v>
      </c>
      <c r="D42">
        <v>19.5</v>
      </c>
      <c r="E42">
        <v>50000</v>
      </c>
      <c r="F42" cm="1">
        <f t="array" aca="1" ref="F42" ca="1">IFERROR(MATCH(TRUE, INDEX(ISNUMBER(FIND("control", INDIRECT("A" &amp; ROW() + 1 &amp; ":A1000"))), 0), 0) + ROW(), ROW())</f>
        <v>57</v>
      </c>
      <c r="G42">
        <v>1</v>
      </c>
      <c r="H42" s="3" cm="1">
        <f t="array" aca="1" ref="H42" ca="1">(B42-INDEX(B:B,F42))/INDEX(B:B,F42)/G42</f>
        <v>-0.43134715025906739</v>
      </c>
      <c r="I42" s="3">
        <f t="shared" ca="1" si="0"/>
        <v>4.5857181942544472</v>
      </c>
      <c r="J42" s="9">
        <v>0</v>
      </c>
      <c r="K42" s="4">
        <f t="shared" ca="1" si="1"/>
        <v>0.1</v>
      </c>
    </row>
    <row r="43" spans="1:11" x14ac:dyDescent="0.4">
      <c r="A43" t="s">
        <v>36</v>
      </c>
      <c r="B43">
        <v>3084.7</v>
      </c>
      <c r="C43">
        <v>0.06</v>
      </c>
      <c r="D43">
        <v>342.7</v>
      </c>
      <c r="E43">
        <v>50000</v>
      </c>
      <c r="F43" cm="1">
        <f t="array" aca="1" ref="F43" ca="1">IFERROR(MATCH(TRUE, INDEX(ISNUMBER(FIND("control", INDIRECT("A" &amp; ROW() + 1 &amp; ":A1000"))), 0), 0) + ROW(), ROW())</f>
        <v>57</v>
      </c>
      <c r="G43">
        <v>4</v>
      </c>
      <c r="H43" s="3" cm="1">
        <f t="array" aca="1" ref="H43" ca="1">(B43-INDEX(B:B,F43))/INDEX(B:B,F43)/G43</f>
        <v>2.2473283678756473</v>
      </c>
      <c r="I43" s="3">
        <f ca="1">$N$3</f>
        <v>8.1887824897400829</v>
      </c>
      <c r="J43" s="9">
        <v>1</v>
      </c>
      <c r="K43" s="4">
        <f t="shared" ca="1" si="1"/>
        <v>17.40288318755626</v>
      </c>
    </row>
    <row r="44" spans="1:11" x14ac:dyDescent="0.4">
      <c r="A44" t="s">
        <v>37</v>
      </c>
      <c r="B44">
        <v>2141.1</v>
      </c>
      <c r="C44">
        <v>0.04</v>
      </c>
      <c r="D44">
        <v>237.9</v>
      </c>
      <c r="E44">
        <v>50000</v>
      </c>
      <c r="F44" cm="1">
        <f t="array" aca="1" ref="F44" ca="1">IFERROR(MATCH(TRUE, INDEX(ISNUMBER(FIND("control", INDIRECT("A" &amp; ROW() + 1 &amp; ":A1000"))), 0), 0) + ROW(), ROW())</f>
        <v>57</v>
      </c>
      <c r="G44">
        <v>4</v>
      </c>
      <c r="H44" s="3" cm="1">
        <f t="array" aca="1" ref="H44" ca="1">(B44-INDEX(B:B,F44))/INDEX(B:B,F44)/G44</f>
        <v>1.4834034974093264</v>
      </c>
      <c r="I44" s="3">
        <f t="shared" ref="I44:I57" ca="1" si="2">$N$3</f>
        <v>8.1887824897400829</v>
      </c>
      <c r="J44" s="9">
        <v>1</v>
      </c>
      <c r="K44" s="4">
        <f t="shared" ca="1" si="1"/>
        <v>11.14726858480469</v>
      </c>
    </row>
    <row r="45" spans="1:11" x14ac:dyDescent="0.4">
      <c r="A45" t="s">
        <v>38</v>
      </c>
      <c r="B45">
        <v>2481.6</v>
      </c>
      <c r="C45">
        <v>0.05</v>
      </c>
      <c r="D45">
        <v>275.7</v>
      </c>
      <c r="E45">
        <v>50000</v>
      </c>
      <c r="F45" cm="1">
        <f t="array" aca="1" ref="F45" ca="1">IFERROR(MATCH(TRUE, INDEX(ISNUMBER(FIND("control", INDIRECT("A" &amp; ROW() + 1 &amp; ":A1000"))), 0), 0) + ROW(), ROW())</f>
        <v>57</v>
      </c>
      <c r="G45">
        <v>4</v>
      </c>
      <c r="H45" s="3" cm="1">
        <f t="array" aca="1" ref="H45" ca="1">(B45-INDEX(B:B,F45))/INDEX(B:B,F45)/G45</f>
        <v>1.7590673575129532</v>
      </c>
      <c r="I45" s="3">
        <f t="shared" ca="1" si="2"/>
        <v>8.1887824897400829</v>
      </c>
      <c r="J45" s="9">
        <v>1</v>
      </c>
      <c r="K45" s="4">
        <f t="shared" ca="1" si="1"/>
        <v>13.404619975475429</v>
      </c>
    </row>
    <row r="46" spans="1:11" x14ac:dyDescent="0.4">
      <c r="A46" t="s">
        <v>39</v>
      </c>
      <c r="B46">
        <v>583</v>
      </c>
      <c r="C46">
        <v>0.01</v>
      </c>
      <c r="D46">
        <v>64.8</v>
      </c>
      <c r="E46">
        <v>50000</v>
      </c>
      <c r="F46" cm="1">
        <f t="array" aca="1" ref="F46" ca="1">IFERROR(MATCH(TRUE, INDEX(ISNUMBER(FIND("control", INDIRECT("A" &amp; ROW() + 1 &amp; ":A1000"))), 0), 0) + ROW(), ROW())</f>
        <v>57</v>
      </c>
      <c r="G46">
        <v>4</v>
      </c>
      <c r="H46" s="3" cm="1">
        <f t="array" aca="1" ref="H46" ca="1">(B46-INDEX(B:B,F46))/INDEX(B:B,F46)/G46</f>
        <v>0.2219883419689119</v>
      </c>
      <c r="I46" s="3">
        <f t="shared" ca="1" si="2"/>
        <v>8.1887824897400829</v>
      </c>
      <c r="J46" s="9">
        <v>1</v>
      </c>
      <c r="K46" s="4">
        <f t="shared" ca="1" si="1"/>
        <v>0.81781424764145938</v>
      </c>
    </row>
    <row r="47" spans="1:11" x14ac:dyDescent="0.4">
      <c r="A47" t="s">
        <v>40</v>
      </c>
      <c r="B47">
        <v>538.4</v>
      </c>
      <c r="C47">
        <v>0.01</v>
      </c>
      <c r="D47">
        <v>59.8</v>
      </c>
      <c r="E47">
        <v>50000</v>
      </c>
      <c r="F47" cm="1">
        <f t="array" aca="1" ref="F47" ca="1">IFERROR(MATCH(TRUE, INDEX(ISNUMBER(FIND("control", INDIRECT("A" &amp; ROW() + 1 &amp; ":A1000"))), 0), 0) + ROW(), ROW())</f>
        <v>57</v>
      </c>
      <c r="G47">
        <v>4</v>
      </c>
      <c r="H47" s="3" cm="1">
        <f t="array" aca="1" ref="H47" ca="1">(B47-INDEX(B:B,F47))/INDEX(B:B,F47)/G47</f>
        <v>0.18588082901554401</v>
      </c>
      <c r="I47" s="3">
        <f t="shared" ca="1" si="2"/>
        <v>8.1887824897400829</v>
      </c>
      <c r="J47" s="9">
        <v>1</v>
      </c>
      <c r="K47" s="4">
        <f t="shared" ca="1" si="1"/>
        <v>0.52213767782085707</v>
      </c>
    </row>
    <row r="48" spans="1:11" x14ac:dyDescent="0.4">
      <c r="A48" t="s">
        <v>296</v>
      </c>
      <c r="B48">
        <v>754.7</v>
      </c>
      <c r="C48">
        <v>0.02</v>
      </c>
      <c r="D48">
        <v>83.9</v>
      </c>
      <c r="E48">
        <v>50000</v>
      </c>
      <c r="F48" cm="1">
        <f t="array" aca="1" ref="F48" ca="1">IFERROR(MATCH(TRUE, INDEX(ISNUMBER(FIND("control", INDIRECT("A" &amp; ROW() + 1 &amp; ":A1000"))), 0), 0) + ROW(), ROW())</f>
        <v>57</v>
      </c>
      <c r="G48">
        <v>4</v>
      </c>
      <c r="H48" s="3" cm="1">
        <f t="array" aca="1" ref="H48" ca="1">(B48-INDEX(B:B,F48))/INDEX(B:B,F48)/G48</f>
        <v>0.36099417098445596</v>
      </c>
      <c r="I48" s="3">
        <f t="shared" ca="1" si="2"/>
        <v>8.1887824897400829</v>
      </c>
      <c r="J48" s="9">
        <v>1</v>
      </c>
      <c r="K48" s="4">
        <f t="shared" ca="1" si="1"/>
        <v>1.9561027462557505</v>
      </c>
    </row>
    <row r="49" spans="1:11" x14ac:dyDescent="0.4">
      <c r="A49" t="s">
        <v>298</v>
      </c>
      <c r="B49">
        <v>900.3</v>
      </c>
      <c r="C49">
        <v>0.02</v>
      </c>
      <c r="D49">
        <v>100</v>
      </c>
      <c r="E49">
        <v>50000</v>
      </c>
      <c r="F49" cm="1">
        <f t="array" aca="1" ref="F49" ca="1">IFERROR(MATCH(TRUE, INDEX(ISNUMBER(FIND("control", INDIRECT("A" &amp; ROW() + 1 &amp; ":A1000"))), 0), 0) + ROW(), ROW())</f>
        <v>57</v>
      </c>
      <c r="G49">
        <v>4</v>
      </c>
      <c r="H49" s="3" cm="1">
        <f t="array" aca="1" ref="H49" ca="1">(B49-INDEX(B:B,F49))/INDEX(B:B,F49)/G49</f>
        <v>0.47886981865284972</v>
      </c>
      <c r="I49" s="3">
        <f t="shared" ca="1" si="2"/>
        <v>8.1887824897400829</v>
      </c>
      <c r="J49" s="9">
        <v>1</v>
      </c>
      <c r="K49" s="4">
        <f t="shared" ca="1" si="1"/>
        <v>2.9213607858494646</v>
      </c>
    </row>
    <row r="50" spans="1:11" x14ac:dyDescent="0.4">
      <c r="A50" t="s">
        <v>299</v>
      </c>
      <c r="B50">
        <v>557.9</v>
      </c>
      <c r="C50">
        <v>0.01</v>
      </c>
      <c r="D50">
        <v>62</v>
      </c>
      <c r="E50">
        <v>50000</v>
      </c>
      <c r="F50" cm="1">
        <f t="array" aca="1" ref="F50" ca="1">IFERROR(MATCH(TRUE, INDEX(ISNUMBER(FIND("control", INDIRECT("A" &amp; ROW() + 1 &amp; ":A1000"))), 0), 0) + ROW(), ROW())</f>
        <v>57</v>
      </c>
      <c r="G50">
        <v>4</v>
      </c>
      <c r="H50" s="3" cm="1">
        <f t="array" aca="1" ref="H50" ca="1">(B50-INDEX(B:B,F50))/INDEX(B:B,F50)/G50</f>
        <v>0.2016677461139896</v>
      </c>
      <c r="I50" s="3">
        <f t="shared" ca="1" si="2"/>
        <v>8.1887824897400829</v>
      </c>
      <c r="J50" s="9">
        <v>1</v>
      </c>
      <c r="K50" s="4">
        <f t="shared" ca="1" si="1"/>
        <v>0.65141330812358667</v>
      </c>
    </row>
    <row r="51" spans="1:11" x14ac:dyDescent="0.4">
      <c r="A51" t="s">
        <v>301</v>
      </c>
      <c r="B51">
        <v>554.79999999999995</v>
      </c>
      <c r="C51">
        <v>0.01</v>
      </c>
      <c r="D51">
        <v>61.6</v>
      </c>
      <c r="E51">
        <v>50000</v>
      </c>
      <c r="F51" cm="1">
        <f t="array" aca="1" ref="F51" ca="1">IFERROR(MATCH(TRUE, INDEX(ISNUMBER(FIND("control", INDIRECT("A" &amp; ROW() + 1 &amp; ":A1000"))), 0), 0) + ROW(), ROW())</f>
        <v>57</v>
      </c>
      <c r="G51">
        <v>4</v>
      </c>
      <c r="H51" s="3" cm="1">
        <f t="array" aca="1" ref="H51" ca="1">(B51-INDEX(B:B,F51))/INDEX(B:B,F51)/G51</f>
        <v>0.19915803108808286</v>
      </c>
      <c r="I51" s="3">
        <f t="shared" ca="1" si="2"/>
        <v>8.1887824897400829</v>
      </c>
      <c r="J51" s="9">
        <v>1</v>
      </c>
      <c r="K51" s="4">
        <f t="shared" ca="1" si="1"/>
        <v>0.630861797665204</v>
      </c>
    </row>
    <row r="52" spans="1:11" x14ac:dyDescent="0.4">
      <c r="A52" t="s">
        <v>302</v>
      </c>
      <c r="B52">
        <v>556.79999999999995</v>
      </c>
      <c r="C52">
        <v>0.01</v>
      </c>
      <c r="D52">
        <v>61.9</v>
      </c>
      <c r="E52">
        <v>50000</v>
      </c>
      <c r="F52" cm="1">
        <f t="array" aca="1" ref="F52" ca="1">IFERROR(MATCH(TRUE, INDEX(ISNUMBER(FIND("control", INDIRECT("A" &amp; ROW() + 1 &amp; ":A1000"))), 0), 0) + ROW(), ROW())</f>
        <v>57</v>
      </c>
      <c r="G52">
        <v>4</v>
      </c>
      <c r="H52" s="3" cm="1">
        <f t="array" aca="1" ref="H52" ca="1">(B52-INDEX(B:B,F52))/INDEX(B:B,F52)/G52</f>
        <v>0.2007772020725388</v>
      </c>
      <c r="I52" s="3">
        <f t="shared" ca="1" si="2"/>
        <v>8.1887824897400829</v>
      </c>
      <c r="J52" s="9">
        <v>1</v>
      </c>
      <c r="K52" s="4">
        <f t="shared" ca="1" si="1"/>
        <v>0.64412083667061193</v>
      </c>
    </row>
    <row r="53" spans="1:11" x14ac:dyDescent="0.4">
      <c r="A53" t="s">
        <v>304</v>
      </c>
      <c r="B53">
        <v>526.5</v>
      </c>
      <c r="C53">
        <v>0.01</v>
      </c>
      <c r="D53">
        <v>58.5</v>
      </c>
      <c r="E53">
        <v>50000</v>
      </c>
      <c r="F53" cm="1">
        <f t="array" aca="1" ref="F53" ca="1">IFERROR(MATCH(TRUE, INDEX(ISNUMBER(FIND("control", INDIRECT("A" &amp; ROW() + 1 &amp; ":A1000"))), 0), 0) + ROW(), ROW())</f>
        <v>57</v>
      </c>
      <c r="G53">
        <v>4</v>
      </c>
      <c r="H53" s="3" cm="1">
        <f t="array" aca="1" ref="H53" ca="1">(B53-INDEX(B:B,F53))/INDEX(B:B,F53)/G53</f>
        <v>0.17624676165803108</v>
      </c>
      <c r="I53" s="3">
        <f t="shared" ca="1" si="2"/>
        <v>8.1887824897400829</v>
      </c>
      <c r="J53" s="9">
        <v>1</v>
      </c>
      <c r="K53" s="4">
        <f t="shared" ca="1" si="1"/>
        <v>0.44324639573867874</v>
      </c>
    </row>
    <row r="54" spans="1:11" x14ac:dyDescent="0.4">
      <c r="A54" t="s">
        <v>305</v>
      </c>
      <c r="B54">
        <v>1225.0999999999999</v>
      </c>
      <c r="C54">
        <v>0.02</v>
      </c>
      <c r="D54">
        <v>136.1</v>
      </c>
      <c r="E54">
        <v>50000</v>
      </c>
      <c r="F54" cm="1">
        <f t="array" aca="1" ref="F54" ca="1">IFERROR(MATCH(TRUE, INDEX(ISNUMBER(FIND("control", INDIRECT("A" &amp; ROW() + 1 &amp; ":A1000"))), 0), 0) + ROW(), ROW())</f>
        <v>57</v>
      </c>
      <c r="G54">
        <v>4</v>
      </c>
      <c r="H54" s="3" cm="1">
        <f t="array" aca="1" ref="H54" ca="1">(B54-INDEX(B:B,F54))/INDEX(B:B,F54)/G54</f>
        <v>0.74182318652849732</v>
      </c>
      <c r="I54" s="3">
        <f t="shared" ca="1" si="2"/>
        <v>8.1887824897400829</v>
      </c>
      <c r="J54" s="9">
        <v>1</v>
      </c>
      <c r="K54" s="4">
        <f t="shared" ca="1" si="1"/>
        <v>5.07462872032775</v>
      </c>
    </row>
    <row r="55" spans="1:11" x14ac:dyDescent="0.4">
      <c r="A55" t="s">
        <v>306</v>
      </c>
      <c r="B55">
        <v>2177.8000000000002</v>
      </c>
      <c r="C55">
        <v>0.04</v>
      </c>
      <c r="D55">
        <v>242</v>
      </c>
      <c r="E55">
        <v>50000</v>
      </c>
      <c r="F55" cm="1">
        <f t="array" aca="1" ref="F55" ca="1">IFERROR(MATCH(TRUE, INDEX(ISNUMBER(FIND("control", INDIRECT("A" &amp; ROW() + 1 &amp; ":A1000"))), 0), 0) + ROW(), ROW())</f>
        <v>57</v>
      </c>
      <c r="G55">
        <v>4</v>
      </c>
      <c r="H55" s="3" cm="1">
        <f t="array" aca="1" ref="H55" ca="1">(B55-INDEX(B:B,F55))/INDEX(B:B,F55)/G55</f>
        <v>1.5131152849740934</v>
      </c>
      <c r="I55" s="3">
        <f t="shared" ca="1" si="2"/>
        <v>8.1887824897400829</v>
      </c>
      <c r="J55" s="9">
        <v>1</v>
      </c>
      <c r="K55" s="4">
        <f t="shared" ca="1" si="1"/>
        <v>11.390571950553932</v>
      </c>
    </row>
    <row r="56" spans="1:11" x14ac:dyDescent="0.4">
      <c r="A56" t="s">
        <v>307</v>
      </c>
      <c r="B56">
        <v>627.20000000000005</v>
      </c>
      <c r="C56">
        <v>0.01</v>
      </c>
      <c r="D56">
        <v>69.7</v>
      </c>
      <c r="E56">
        <v>50000</v>
      </c>
      <c r="F56" cm="1">
        <f t="array" aca="1" ref="F56" ca="1">IFERROR(MATCH(TRUE, INDEX(ISNUMBER(FIND("control", INDIRECT("A" &amp; ROW() + 1 &amp; ":A1000"))), 0), 0) + ROW(), ROW())</f>
        <v>57</v>
      </c>
      <c r="G56">
        <v>4</v>
      </c>
      <c r="H56" s="3" cm="1">
        <f t="array" aca="1" ref="H56" ca="1">(B56-INDEX(B:B,F56))/INDEX(B:B,F56)/G56</f>
        <v>0.25777202072538863</v>
      </c>
      <c r="I56" s="3">
        <f t="shared" ca="1" si="2"/>
        <v>8.1887824897400829</v>
      </c>
      <c r="J56" s="9">
        <v>1</v>
      </c>
      <c r="K56" s="4">
        <f t="shared" ca="1" si="1"/>
        <v>1.1108390096609804</v>
      </c>
    </row>
    <row r="57" spans="1:11" x14ac:dyDescent="0.4">
      <c r="A57" t="s">
        <v>118</v>
      </c>
      <c r="B57">
        <v>308.8</v>
      </c>
      <c r="C57">
        <v>0.01</v>
      </c>
      <c r="D57">
        <v>34.299999999999997</v>
      </c>
      <c r="E57">
        <v>50000</v>
      </c>
      <c r="F57" cm="1">
        <f t="array" aca="1" ref="F57" ca="1">IFERROR(MATCH(TRUE, INDEX(ISNUMBER(FIND("control", INDIRECT("A" &amp; ROW() + 1 &amp; ":A1000"))), 0), 0) + ROW(), ROW())</f>
        <v>60</v>
      </c>
      <c r="G57">
        <v>4</v>
      </c>
      <c r="H57" s="3" cm="1">
        <f t="array" aca="1" ref="H57" ca="1">(B57-INDEX(B:B,F57))/INDEX(B:B,F57)/G57</f>
        <v>0.21117084826762247</v>
      </c>
      <c r="I57" s="3">
        <f t="shared" ca="1" si="2"/>
        <v>8.1887824897400829</v>
      </c>
      <c r="J57" s="9">
        <v>1</v>
      </c>
      <c r="K57" s="4">
        <f t="shared" ca="1" si="1"/>
        <v>0.72923214463746677</v>
      </c>
    </row>
    <row r="58" spans="1:11" x14ac:dyDescent="0.4">
      <c r="A58" t="s">
        <v>300</v>
      </c>
      <c r="B58">
        <v>273.60000000000002</v>
      </c>
      <c r="C58">
        <v>0.01</v>
      </c>
      <c r="D58">
        <v>30.4</v>
      </c>
      <c r="E58">
        <v>50000</v>
      </c>
      <c r="F58" cm="1">
        <f t="array" aca="1" ref="F58" ca="1">IFERROR(MATCH(TRUE, INDEX(ISNUMBER(FIND("control", INDIRECT("A" &amp; ROW() + 1 &amp; ":A1000"))), 0), 0) + ROW(), ROW())</f>
        <v>60</v>
      </c>
      <c r="G58">
        <v>1</v>
      </c>
      <c r="H58" s="3" cm="1">
        <f t="array" aca="1" ref="H58" ca="1">(B58-INDEX(B:B,F58))/INDEX(B:B,F58)/G58</f>
        <v>0.63440860215053774</v>
      </c>
      <c r="I58" s="3">
        <f ca="1">$N$4</f>
        <v>4.5857181942544472</v>
      </c>
      <c r="J58" s="9">
        <v>0</v>
      </c>
      <c r="K58" s="4">
        <f t="shared" ca="1" si="1"/>
        <v>2.9092190694732518</v>
      </c>
    </row>
    <row r="59" spans="1:11" x14ac:dyDescent="0.4">
      <c r="A59" t="s">
        <v>303</v>
      </c>
      <c r="B59">
        <v>278.10000000000002</v>
      </c>
      <c r="C59">
        <v>0.01</v>
      </c>
      <c r="D59">
        <v>30.9</v>
      </c>
      <c r="E59">
        <v>50000</v>
      </c>
      <c r="F59" cm="1">
        <f t="array" aca="1" ref="F59" ca="1">IFERROR(MATCH(TRUE, INDEX(ISNUMBER(FIND("control", INDIRECT("A" &amp; ROW() + 1 &amp; ":A1000"))), 0), 0) + ROW(), ROW())</f>
        <v>60</v>
      </c>
      <c r="G59">
        <v>1</v>
      </c>
      <c r="H59" s="3" cm="1">
        <f t="array" aca="1" ref="H59" ca="1">(B59-INDEX(B:B,F59))/INDEX(B:B,F59)/G59</f>
        <v>0.66129032258064524</v>
      </c>
      <c r="I59" s="3">
        <f t="shared" ref="I59:I60" ca="1" si="3">$N$4</f>
        <v>4.5857181942544472</v>
      </c>
      <c r="J59" s="9">
        <v>0</v>
      </c>
      <c r="K59" s="4">
        <f t="shared" ca="1" si="1"/>
        <v>3.0324910639424574</v>
      </c>
    </row>
    <row r="60" spans="1:11" x14ac:dyDescent="0.4">
      <c r="A60" t="s">
        <v>325</v>
      </c>
      <c r="B60">
        <v>167.4</v>
      </c>
      <c r="C60">
        <v>0</v>
      </c>
      <c r="D60">
        <v>18.600000000000001</v>
      </c>
      <c r="E60">
        <v>50000</v>
      </c>
      <c r="F60" cm="1">
        <f t="array" aca="1" ref="F60" ca="1">IFERROR(MATCH(TRUE, INDEX(ISNUMBER(FIND("control", INDIRECT("A" &amp; ROW() + 1 &amp; ":A1000"))), 0), 0) + ROW(), ROW())</f>
        <v>63</v>
      </c>
      <c r="G60">
        <v>1</v>
      </c>
      <c r="H60" s="3" cm="1">
        <f t="array" aca="1" ref="H60" ca="1">(B60-INDEX(B:B,F60))/INDEX(B:B,F60)/G60</f>
        <v>17.600000000000001</v>
      </c>
      <c r="I60" s="3">
        <f t="shared" ca="1" si="3"/>
        <v>4.5857181942544472</v>
      </c>
      <c r="J60" s="9">
        <v>0</v>
      </c>
      <c r="K60" s="4">
        <f t="shared" ca="1" si="1"/>
        <v>80.708640218878273</v>
      </c>
    </row>
    <row r="61" spans="1:11" x14ac:dyDescent="0.4">
      <c r="A61" t="s">
        <v>41</v>
      </c>
      <c r="B61">
        <v>11464.2</v>
      </c>
      <c r="C61">
        <v>11.46</v>
      </c>
      <c r="D61">
        <v>1273.8</v>
      </c>
      <c r="E61">
        <v>1000</v>
      </c>
      <c r="F61" cm="1">
        <f t="array" aca="1" ref="F61" ca="1">IFERROR(MATCH(TRUE, INDEX(ISNUMBER(FIND("control", INDIRECT("A" &amp; ROW() + 1 &amp; ":A1000"))), 0), 0) + ROW(), ROW())</f>
        <v>63</v>
      </c>
      <c r="G61">
        <v>1</v>
      </c>
      <c r="H61" s="3" cm="1">
        <f t="array" aca="1" ref="H61" ca="1">(B61-INDEX(B:B,F61))/INDEX(B:B,F61)/G61</f>
        <v>1272.8000000000002</v>
      </c>
      <c r="I61" s="3">
        <f ca="1">$N$3</f>
        <v>8.1887824897400829</v>
      </c>
      <c r="J61" s="9">
        <v>0</v>
      </c>
      <c r="K61" s="4">
        <f t="shared" ca="1" si="1"/>
        <v>10422.682352941179</v>
      </c>
    </row>
    <row r="62" spans="1:11" x14ac:dyDescent="0.4">
      <c r="A62" t="s">
        <v>42</v>
      </c>
      <c r="B62">
        <v>6596.2</v>
      </c>
      <c r="C62">
        <v>6.6</v>
      </c>
      <c r="D62">
        <v>732.9</v>
      </c>
      <c r="E62">
        <v>1000</v>
      </c>
      <c r="F62" cm="1">
        <f t="array" aca="1" ref="F62" ca="1">IFERROR(MATCH(TRUE, INDEX(ISNUMBER(FIND("control", INDIRECT("A" &amp; ROW() + 1 &amp; ":A1000"))), 0), 0) + ROW(), ROW())</f>
        <v>63</v>
      </c>
      <c r="G62">
        <v>1</v>
      </c>
      <c r="H62" s="3" cm="1">
        <f t="array" aca="1" ref="H62" ca="1">(B62-INDEX(B:B,F62))/INDEX(B:B,F62)/G62</f>
        <v>731.91111111111104</v>
      </c>
      <c r="I62" s="3">
        <f t="shared" ref="I62:I96" ca="1" si="4">$N$3</f>
        <v>8.1887824897400829</v>
      </c>
      <c r="J62" s="9">
        <v>0</v>
      </c>
      <c r="K62" s="4">
        <f t="shared" ca="1" si="1"/>
        <v>5993.4608907128741</v>
      </c>
    </row>
    <row r="63" spans="1:11" x14ac:dyDescent="0.4">
      <c r="A63" t="s">
        <v>127</v>
      </c>
      <c r="B63">
        <v>9</v>
      </c>
      <c r="C63">
        <v>0.01</v>
      </c>
      <c r="D63">
        <v>1</v>
      </c>
      <c r="E63">
        <v>1000</v>
      </c>
      <c r="F63" cm="1">
        <f t="array" aca="1" ref="F63" ca="1">IFERROR(MATCH(TRUE, INDEX(ISNUMBER(FIND("control", INDIRECT("A" &amp; ROW() + 1 &amp; ":A1000"))), 0), 0) + ROW(), ROW())</f>
        <v>96</v>
      </c>
      <c r="G63">
        <v>1</v>
      </c>
      <c r="H63" s="3" cm="1">
        <f t="array" aca="1" ref="H63" ca="1">(B63-INDEX(B:B,F63))/INDEX(B:B,F63)/G63</f>
        <v>-0.96992983628466423</v>
      </c>
      <c r="I63" s="3">
        <f t="shared" ca="1" si="4"/>
        <v>8.1887824897400829</v>
      </c>
      <c r="J63" s="9">
        <v>0</v>
      </c>
      <c r="K63" s="4">
        <f t="shared" ca="1" si="1"/>
        <v>0.1</v>
      </c>
    </row>
    <row r="64" spans="1:11" x14ac:dyDescent="0.4">
      <c r="A64" t="s">
        <v>43</v>
      </c>
      <c r="B64">
        <v>872</v>
      </c>
      <c r="C64">
        <v>0.02</v>
      </c>
      <c r="D64">
        <v>97</v>
      </c>
      <c r="E64">
        <v>50000</v>
      </c>
      <c r="F64" cm="1">
        <f t="array" aca="1" ref="F64" ca="1">IFERROR(MATCH(TRUE, INDEX(ISNUMBER(FIND("control", INDIRECT("A" &amp; ROW() + 1 &amp; ":A1000"))), 0), 0) + ROW(), ROW())</f>
        <v>96</v>
      </c>
      <c r="G64">
        <v>16</v>
      </c>
      <c r="H64" s="3" cm="1">
        <f t="array" aca="1" ref="H64" ca="1">(B64-INDEX(B:B,F64))/INDEX(B:B,F64)/G64</f>
        <v>0.11959154694286669</v>
      </c>
      <c r="I64" s="3">
        <f t="shared" ca="1" si="4"/>
        <v>8.1887824897400829</v>
      </c>
      <c r="J64" s="9">
        <v>0</v>
      </c>
      <c r="K64" s="4">
        <f t="shared" ca="1" si="1"/>
        <v>0.97930916552667591</v>
      </c>
    </row>
    <row r="65" spans="1:11" x14ac:dyDescent="0.4">
      <c r="A65" t="s">
        <v>44</v>
      </c>
      <c r="B65">
        <v>884.1</v>
      </c>
      <c r="C65">
        <v>0.02</v>
      </c>
      <c r="D65">
        <v>98.2</v>
      </c>
      <c r="E65">
        <v>50000</v>
      </c>
      <c r="F65" cm="1">
        <f t="array" aca="1" ref="F65" ca="1">IFERROR(MATCH(TRUE, INDEX(ISNUMBER(FIND("control", INDIRECT("A" &amp; ROW() + 1 &amp; ":A1000"))), 0), 0) + ROW(), ROW())</f>
        <v>96</v>
      </c>
      <c r="G65">
        <v>16</v>
      </c>
      <c r="H65" s="3" cm="1">
        <f t="array" aca="1" ref="H65" ca="1">(B65-INDEX(B:B,F65))/INDEX(B:B,F65)/G65</f>
        <v>0.12211827597728031</v>
      </c>
      <c r="I65" s="3">
        <f t="shared" ca="1" si="4"/>
        <v>8.1887824897400829</v>
      </c>
      <c r="J65" s="9">
        <v>0</v>
      </c>
      <c r="K65" s="4">
        <f t="shared" ca="1" si="1"/>
        <v>1</v>
      </c>
    </row>
    <row r="66" spans="1:11" x14ac:dyDescent="0.4">
      <c r="A66" t="s">
        <v>45</v>
      </c>
      <c r="B66">
        <v>907.2</v>
      </c>
      <c r="C66">
        <v>0.02</v>
      </c>
      <c r="D66">
        <v>100.8</v>
      </c>
      <c r="E66">
        <v>50000</v>
      </c>
      <c r="F66" cm="1">
        <f t="array" aca="1" ref="F66" ca="1">IFERROR(MATCH(TRUE, INDEX(ISNUMBER(FIND("control", INDIRECT("A" &amp; ROW() + 1 &amp; ":A1000"))), 0), 0) + ROW(), ROW())</f>
        <v>96</v>
      </c>
      <c r="G66">
        <v>16</v>
      </c>
      <c r="H66" s="3" cm="1">
        <f t="array" aca="1" ref="H66" ca="1">(B66-INDEX(B:B,F66))/INDEX(B:B,F66)/G66</f>
        <v>0.12694203140661545</v>
      </c>
      <c r="I66" s="3">
        <f t="shared" ca="1" si="4"/>
        <v>8.1887824897400829</v>
      </c>
      <c r="J66" s="9">
        <v>0</v>
      </c>
      <c r="K66" s="4">
        <f t="shared" ref="K66:K129" ca="1" si="5">MAX(H66*I66-IF(J66=1,$N$5,0),0.1)</f>
        <v>1.0395006839945282</v>
      </c>
    </row>
    <row r="67" spans="1:11" x14ac:dyDescent="0.4">
      <c r="A67" t="s">
        <v>46</v>
      </c>
      <c r="B67">
        <v>897.2</v>
      </c>
      <c r="C67">
        <v>0.02</v>
      </c>
      <c r="D67">
        <v>99.7</v>
      </c>
      <c r="E67">
        <v>50000</v>
      </c>
      <c r="F67" cm="1">
        <f t="array" aca="1" ref="F67" ca="1">IFERROR(MATCH(TRUE, INDEX(ISNUMBER(FIND("control", INDIRECT("A" &amp; ROW() + 1 &amp; ":A1000"))), 0), 0) + ROW(), ROW())</f>
        <v>96</v>
      </c>
      <c r="G67">
        <v>16</v>
      </c>
      <c r="H67" s="3" cm="1">
        <f t="array" aca="1" ref="H67" ca="1">(B67-INDEX(B:B,F67))/INDEX(B:B,F67)/G67</f>
        <v>0.12485382559305047</v>
      </c>
      <c r="I67" s="3">
        <f t="shared" ca="1" si="4"/>
        <v>8.1887824897400829</v>
      </c>
      <c r="J67" s="9">
        <v>0</v>
      </c>
      <c r="K67" s="4">
        <f t="shared" ca="1" si="5"/>
        <v>1.0224008207934339</v>
      </c>
    </row>
    <row r="68" spans="1:11" x14ac:dyDescent="0.4">
      <c r="A68" t="s">
        <v>326</v>
      </c>
      <c r="B68">
        <v>1040.2</v>
      </c>
      <c r="C68">
        <v>0.02</v>
      </c>
      <c r="D68">
        <v>115.6</v>
      </c>
      <c r="E68">
        <v>50000</v>
      </c>
      <c r="F68" cm="1">
        <f t="array" aca="1" ref="F68" ca="1">IFERROR(MATCH(TRUE, INDEX(ISNUMBER(FIND("control", INDIRECT("A" &amp; ROW() + 1 &amp; ":A1000"))), 0), 0) + ROW(), ROW())</f>
        <v>96</v>
      </c>
      <c r="G68">
        <v>16</v>
      </c>
      <c r="H68" s="3" cm="1">
        <f t="array" aca="1" ref="H68" ca="1">(B68-INDEX(B:B,F68))/INDEX(B:B,F68)/G68</f>
        <v>0.15471516872702976</v>
      </c>
      <c r="I68" s="3">
        <f t="shared" ca="1" si="4"/>
        <v>8.1887824897400829</v>
      </c>
      <c r="J68" s="9">
        <v>0</v>
      </c>
      <c r="K68" s="4">
        <f t="shared" ca="1" si="5"/>
        <v>1.2669288645690837</v>
      </c>
    </row>
    <row r="69" spans="1:11" x14ac:dyDescent="0.4">
      <c r="A69" t="s">
        <v>327</v>
      </c>
      <c r="B69">
        <v>2195.3000000000002</v>
      </c>
      <c r="C69">
        <v>0.04</v>
      </c>
      <c r="D69">
        <v>243.9</v>
      </c>
      <c r="E69">
        <v>50000</v>
      </c>
      <c r="F69" cm="1">
        <f t="array" aca="1" ref="F69" ca="1">IFERROR(MATCH(TRUE, INDEX(ISNUMBER(FIND("control", INDIRECT("A" &amp; ROW() + 1 &amp; ":A1000"))), 0), 0) + ROW(), ROW())</f>
        <v>96</v>
      </c>
      <c r="G69">
        <v>16</v>
      </c>
      <c r="H69" s="3" cm="1">
        <f t="array" aca="1" ref="H69" ca="1">(B69-INDEX(B:B,F69))/INDEX(B:B,F69)/G69</f>
        <v>0.39592382225192119</v>
      </c>
      <c r="I69" s="3">
        <f t="shared" ca="1" si="4"/>
        <v>8.1887824897400829</v>
      </c>
      <c r="J69" s="9">
        <v>0</v>
      </c>
      <c r="K69" s="4">
        <f t="shared" ca="1" si="5"/>
        <v>3.2421340629274971</v>
      </c>
    </row>
    <row r="70" spans="1:11" x14ac:dyDescent="0.4">
      <c r="A70" t="s">
        <v>47</v>
      </c>
      <c r="B70">
        <v>887</v>
      </c>
      <c r="C70">
        <v>0.02</v>
      </c>
      <c r="D70">
        <v>98.6</v>
      </c>
      <c r="E70">
        <v>50000</v>
      </c>
      <c r="F70" cm="1">
        <f t="array" aca="1" ref="F70" ca="1">IFERROR(MATCH(TRUE, INDEX(ISNUMBER(FIND("control", INDIRECT("A" &amp; ROW() + 1 &amp; ":A1000"))), 0), 0) + ROW(), ROW())</f>
        <v>96</v>
      </c>
      <c r="G70">
        <v>16</v>
      </c>
      <c r="H70" s="3" cm="1">
        <f t="array" aca="1" ref="H70" ca="1">(B70-INDEX(B:B,F70))/INDEX(B:B,F70)/G70</f>
        <v>0.12272385566321417</v>
      </c>
      <c r="I70" s="3">
        <f t="shared" ca="1" si="4"/>
        <v>8.1887824897400829</v>
      </c>
      <c r="J70" s="9">
        <v>0</v>
      </c>
      <c r="K70" s="4">
        <f t="shared" ca="1" si="5"/>
        <v>1.0049589603283176</v>
      </c>
    </row>
    <row r="71" spans="1:11" x14ac:dyDescent="0.4">
      <c r="A71" t="s">
        <v>48</v>
      </c>
      <c r="B71">
        <v>857.6</v>
      </c>
      <c r="C71">
        <v>0.02</v>
      </c>
      <c r="D71">
        <v>95.3</v>
      </c>
      <c r="E71">
        <v>50000</v>
      </c>
      <c r="F71" cm="1">
        <f t="array" aca="1" ref="F71" ca="1">IFERROR(MATCH(TRUE, INDEX(ISNUMBER(FIND("control", INDIRECT("A" &amp; ROW() + 1 &amp; ":A1000"))), 0), 0) + ROW(), ROW())</f>
        <v>96</v>
      </c>
      <c r="G71">
        <v>16</v>
      </c>
      <c r="H71" s="3" cm="1">
        <f t="array" aca="1" ref="H71" ca="1">(B71-INDEX(B:B,F71))/INDEX(B:B,F71)/G71</f>
        <v>0.1165845305713331</v>
      </c>
      <c r="I71" s="3">
        <f t="shared" ca="1" si="4"/>
        <v>8.1887824897400829</v>
      </c>
      <c r="J71" s="9">
        <v>0</v>
      </c>
      <c r="K71" s="4">
        <f t="shared" ca="1" si="5"/>
        <v>0.9546853625170999</v>
      </c>
    </row>
    <row r="72" spans="1:11" x14ac:dyDescent="0.4">
      <c r="A72" t="s">
        <v>49</v>
      </c>
      <c r="B72">
        <v>888</v>
      </c>
      <c r="C72">
        <v>0.02</v>
      </c>
      <c r="D72">
        <v>98.7</v>
      </c>
      <c r="E72">
        <v>50000</v>
      </c>
      <c r="F72" cm="1">
        <f t="array" aca="1" ref="F72" ca="1">IFERROR(MATCH(TRUE, INDEX(ISNUMBER(FIND("control", INDIRECT("A" &amp; ROW() + 1 &amp; ":A1000"))), 0), 0) + ROW(), ROW())</f>
        <v>96</v>
      </c>
      <c r="G72">
        <v>16</v>
      </c>
      <c r="H72" s="3" cm="1">
        <f t="array" aca="1" ref="H72" ca="1">(B72-INDEX(B:B,F72))/INDEX(B:B,F72)/G72</f>
        <v>0.12293267624457067</v>
      </c>
      <c r="I72" s="3">
        <f t="shared" ca="1" si="4"/>
        <v>8.1887824897400829</v>
      </c>
      <c r="J72" s="9">
        <v>0</v>
      </c>
      <c r="K72" s="4">
        <f t="shared" ca="1" si="5"/>
        <v>1.0066689466484271</v>
      </c>
    </row>
    <row r="73" spans="1:11" x14ac:dyDescent="0.4">
      <c r="A73" t="s">
        <v>50</v>
      </c>
      <c r="B73">
        <v>566.20000000000005</v>
      </c>
      <c r="C73">
        <v>0.01</v>
      </c>
      <c r="D73">
        <v>62.9</v>
      </c>
      <c r="E73">
        <v>50000</v>
      </c>
      <c r="F73" cm="1">
        <f t="array" aca="1" ref="F73" ca="1">IFERROR(MATCH(TRUE, INDEX(ISNUMBER(FIND("control", INDIRECT("A" &amp; ROW() + 1 &amp; ":A1000"))), 0), 0) + ROW(), ROW())</f>
        <v>96</v>
      </c>
      <c r="G73">
        <v>16</v>
      </c>
      <c r="H73" s="3" cm="1">
        <f t="array" aca="1" ref="H73" ca="1">(B73-INDEX(B:B,F73))/INDEX(B:B,F73)/G73</f>
        <v>5.5734213164049452E-2</v>
      </c>
      <c r="I73" s="3">
        <f t="shared" ca="1" si="4"/>
        <v>8.1887824897400829</v>
      </c>
      <c r="J73" s="9">
        <v>0</v>
      </c>
      <c r="K73" s="4">
        <f t="shared" ca="1" si="5"/>
        <v>0.45639534883720939</v>
      </c>
    </row>
    <row r="74" spans="1:11" x14ac:dyDescent="0.4">
      <c r="A74" t="s">
        <v>51</v>
      </c>
      <c r="B74">
        <v>590.79999999999995</v>
      </c>
      <c r="C74">
        <v>0.01</v>
      </c>
      <c r="D74">
        <v>65.599999999999994</v>
      </c>
      <c r="E74">
        <v>50000</v>
      </c>
      <c r="F74" cm="1">
        <f t="array" aca="1" ref="F74" ca="1">IFERROR(MATCH(TRUE, INDEX(ISNUMBER(FIND("control", INDIRECT("A" &amp; ROW() + 1 &amp; ":A1000"))), 0), 0) + ROW(), ROW())</f>
        <v>96</v>
      </c>
      <c r="G74">
        <v>16</v>
      </c>
      <c r="H74" s="3" cm="1">
        <f t="array" aca="1" ref="H74" ca="1">(B74-INDEX(B:B,F74))/INDEX(B:B,F74)/G74</f>
        <v>6.0871199465419294E-2</v>
      </c>
      <c r="I74" s="3">
        <f t="shared" ca="1" si="4"/>
        <v>8.1887824897400829</v>
      </c>
      <c r="J74" s="9">
        <v>0</v>
      </c>
      <c r="K74" s="4">
        <f t="shared" ca="1" si="5"/>
        <v>0.49846101231190143</v>
      </c>
    </row>
    <row r="75" spans="1:11" x14ac:dyDescent="0.4">
      <c r="A75" t="s">
        <v>52</v>
      </c>
      <c r="B75">
        <v>548.79999999999995</v>
      </c>
      <c r="C75">
        <v>0.01</v>
      </c>
      <c r="D75">
        <v>61</v>
      </c>
      <c r="E75">
        <v>50000</v>
      </c>
      <c r="F75" cm="1">
        <f t="array" aca="1" ref="F75" ca="1">IFERROR(MATCH(TRUE, INDEX(ISNUMBER(FIND("control", INDIRECT("A" &amp; ROW() + 1 &amp; ":A1000"))), 0), 0) + ROW(), ROW())</f>
        <v>96</v>
      </c>
      <c r="G75">
        <v>16</v>
      </c>
      <c r="H75" s="3" cm="1">
        <f t="array" aca="1" ref="H75" ca="1">(B75-INDEX(B:B,F75))/INDEX(B:B,F75)/G75</f>
        <v>5.210073504844636E-2</v>
      </c>
      <c r="I75" s="3">
        <f t="shared" ca="1" si="4"/>
        <v>8.1887824897400829</v>
      </c>
      <c r="J75" s="9">
        <v>0</v>
      </c>
      <c r="K75" s="4">
        <f t="shared" ca="1" si="5"/>
        <v>0.42664158686730497</v>
      </c>
    </row>
    <row r="76" spans="1:11" x14ac:dyDescent="0.4">
      <c r="A76" t="s">
        <v>53</v>
      </c>
      <c r="B76">
        <v>715.8</v>
      </c>
      <c r="C76">
        <v>0.01</v>
      </c>
      <c r="D76">
        <v>79.5</v>
      </c>
      <c r="E76">
        <v>50000</v>
      </c>
      <c r="F76" cm="1">
        <f t="array" aca="1" ref="F76" ca="1">IFERROR(MATCH(TRUE, INDEX(ISNUMBER(FIND("control", INDIRECT("A" &amp; ROW() + 1 &amp; ":A1000"))), 0), 0) + ROW(), ROW())</f>
        <v>96</v>
      </c>
      <c r="G76">
        <v>16</v>
      </c>
      <c r="H76" s="3" cm="1">
        <f t="array" aca="1" ref="H76" ca="1">(B76-INDEX(B:B,F76))/INDEX(B:B,F76)/G76</f>
        <v>8.6973772134981614E-2</v>
      </c>
      <c r="I76" s="3">
        <f t="shared" ca="1" si="4"/>
        <v>8.1887824897400829</v>
      </c>
      <c r="J76" s="9">
        <v>0</v>
      </c>
      <c r="K76" s="4">
        <f t="shared" ca="1" si="5"/>
        <v>0.71220930232558144</v>
      </c>
    </row>
    <row r="77" spans="1:11" x14ac:dyDescent="0.4">
      <c r="A77" t="s">
        <v>54</v>
      </c>
      <c r="B77">
        <v>645.29999999999995</v>
      </c>
      <c r="C77">
        <v>0.01</v>
      </c>
      <c r="D77">
        <v>71.7</v>
      </c>
      <c r="E77">
        <v>50000</v>
      </c>
      <c r="F77" cm="1">
        <f t="array" aca="1" ref="F77" ca="1">IFERROR(MATCH(TRUE, INDEX(ISNUMBER(FIND("control", INDIRECT("A" &amp; ROW() + 1 &amp; ":A1000"))), 0), 0) + ROW(), ROW())</f>
        <v>96</v>
      </c>
      <c r="G77">
        <v>16</v>
      </c>
      <c r="H77" s="3" cm="1">
        <f t="array" aca="1" ref="H77" ca="1">(B77-INDEX(B:B,F77))/INDEX(B:B,F77)/G77</f>
        <v>7.2251921149348461E-2</v>
      </c>
      <c r="I77" s="3">
        <f t="shared" ca="1" si="4"/>
        <v>8.1887824897400829</v>
      </c>
      <c r="J77" s="9">
        <v>0</v>
      </c>
      <c r="K77" s="4">
        <f t="shared" ca="1" si="5"/>
        <v>0.59165526675786584</v>
      </c>
    </row>
    <row r="78" spans="1:11" x14ac:dyDescent="0.4">
      <c r="A78" t="s">
        <v>55</v>
      </c>
      <c r="B78">
        <v>609.5</v>
      </c>
      <c r="C78">
        <v>0.01</v>
      </c>
      <c r="D78">
        <v>67.7</v>
      </c>
      <c r="E78">
        <v>50000</v>
      </c>
      <c r="F78" cm="1">
        <f t="array" aca="1" ref="F78" ca="1">IFERROR(MATCH(TRUE, INDEX(ISNUMBER(FIND("control", INDIRECT("A" &amp; ROW() + 1 &amp; ":A1000"))), 0), 0) + ROW(), ROW())</f>
        <v>96</v>
      </c>
      <c r="G78">
        <v>16</v>
      </c>
      <c r="H78" s="3" cm="1">
        <f t="array" aca="1" ref="H78" ca="1">(B78-INDEX(B:B,F78))/INDEX(B:B,F78)/G78</f>
        <v>6.4776144336785829E-2</v>
      </c>
      <c r="I78" s="3">
        <f t="shared" ca="1" si="4"/>
        <v>8.1887824897400829</v>
      </c>
      <c r="J78" s="9">
        <v>0</v>
      </c>
      <c r="K78" s="4">
        <f t="shared" ca="1" si="5"/>
        <v>0.530437756497948</v>
      </c>
    </row>
    <row r="79" spans="1:11" x14ac:dyDescent="0.4">
      <c r="A79" t="s">
        <v>56</v>
      </c>
      <c r="B79">
        <v>827</v>
      </c>
      <c r="C79">
        <v>0.02</v>
      </c>
      <c r="D79">
        <v>91.9</v>
      </c>
      <c r="E79">
        <v>50000</v>
      </c>
      <c r="F79" cm="1">
        <f t="array" aca="1" ref="F79" ca="1">IFERROR(MATCH(TRUE, INDEX(ISNUMBER(FIND("control", INDIRECT("A" &amp; ROW() + 1 &amp; ":A1000"))), 0), 0) + ROW(), ROW())</f>
        <v>96</v>
      </c>
      <c r="G79">
        <v>16</v>
      </c>
      <c r="H79" s="3" cm="1">
        <f t="array" aca="1" ref="H79" ca="1">(B79-INDEX(B:B,F79))/INDEX(B:B,F79)/G79</f>
        <v>0.11019462078182427</v>
      </c>
      <c r="I79" s="3">
        <f t="shared" ca="1" si="4"/>
        <v>8.1887824897400829</v>
      </c>
      <c r="J79" s="9">
        <v>0</v>
      </c>
      <c r="K79" s="4">
        <f t="shared" ca="1" si="5"/>
        <v>0.90235978112175119</v>
      </c>
    </row>
    <row r="80" spans="1:11" x14ac:dyDescent="0.4">
      <c r="A80" t="s">
        <v>57</v>
      </c>
      <c r="B80">
        <v>1092.5999999999999</v>
      </c>
      <c r="C80">
        <v>0.02</v>
      </c>
      <c r="D80">
        <v>121.4</v>
      </c>
      <c r="E80">
        <v>50000</v>
      </c>
      <c r="F80" cm="1">
        <f t="array" aca="1" ref="F80" ca="1">IFERROR(MATCH(TRUE, INDEX(ISNUMBER(FIND("control", INDIRECT("A" &amp; ROW() + 1 &amp; ":A1000"))), 0), 0) + ROW(), ROW())</f>
        <v>96</v>
      </c>
      <c r="G80">
        <v>16</v>
      </c>
      <c r="H80" s="3" cm="1">
        <f t="array" aca="1" ref="H80" ca="1">(B80-INDEX(B:B,F80))/INDEX(B:B,F80)/G80</f>
        <v>0.16565736719011023</v>
      </c>
      <c r="I80" s="3">
        <f t="shared" ca="1" si="4"/>
        <v>8.1887824897400829</v>
      </c>
      <c r="J80" s="9">
        <v>0</v>
      </c>
      <c r="K80" s="4">
        <f t="shared" ca="1" si="5"/>
        <v>1.3565321477428181</v>
      </c>
    </row>
    <row r="81" spans="1:11" x14ac:dyDescent="0.4">
      <c r="A81" t="s">
        <v>58</v>
      </c>
      <c r="B81">
        <v>599.20000000000005</v>
      </c>
      <c r="C81">
        <v>0.01</v>
      </c>
      <c r="D81">
        <v>66.599999999999994</v>
      </c>
      <c r="E81">
        <v>50000</v>
      </c>
      <c r="F81" cm="1">
        <f t="array" aca="1" ref="F81" ca="1">IFERROR(MATCH(TRUE, INDEX(ISNUMBER(FIND("control", INDIRECT("A" &amp; ROW() + 1 &amp; ":A1000"))), 0), 0) + ROW(), ROW())</f>
        <v>96</v>
      </c>
      <c r="G81">
        <v>16</v>
      </c>
      <c r="H81" s="3" cm="1">
        <f t="array" aca="1" ref="H81" ca="1">(B81-INDEX(B:B,F81))/INDEX(B:B,F81)/G81</f>
        <v>6.2625292348813907E-2</v>
      </c>
      <c r="I81" s="3">
        <f t="shared" ca="1" si="4"/>
        <v>8.1887824897400829</v>
      </c>
      <c r="J81" s="9">
        <v>0</v>
      </c>
      <c r="K81" s="4">
        <f t="shared" ca="1" si="5"/>
        <v>0.51282489740082093</v>
      </c>
    </row>
    <row r="82" spans="1:11" x14ac:dyDescent="0.4">
      <c r="A82" t="s">
        <v>59</v>
      </c>
      <c r="B82">
        <v>764.6</v>
      </c>
      <c r="C82">
        <v>0.02</v>
      </c>
      <c r="D82">
        <v>85</v>
      </c>
      <c r="E82">
        <v>50000</v>
      </c>
      <c r="F82" cm="1">
        <f t="array" aca="1" ref="F82" ca="1">IFERROR(MATCH(TRUE, INDEX(ISNUMBER(FIND("control", INDIRECT("A" &amp; ROW() + 1 &amp; ":A1000"))), 0), 0) + ROW(), ROW())</f>
        <v>96</v>
      </c>
      <c r="G82">
        <v>16</v>
      </c>
      <c r="H82" s="3" cm="1">
        <f t="array" aca="1" ref="H82" ca="1">(B82-INDEX(B:B,F82))/INDEX(B:B,F82)/G82</f>
        <v>9.7164216505178744E-2</v>
      </c>
      <c r="I82" s="3">
        <f t="shared" ca="1" si="4"/>
        <v>8.1887824897400829</v>
      </c>
      <c r="J82" s="9">
        <v>0</v>
      </c>
      <c r="K82" s="4">
        <f t="shared" ca="1" si="5"/>
        <v>0.79565663474692205</v>
      </c>
    </row>
    <row r="83" spans="1:11" x14ac:dyDescent="0.4">
      <c r="A83" t="s">
        <v>60</v>
      </c>
      <c r="B83">
        <v>710.9</v>
      </c>
      <c r="C83">
        <v>0.01</v>
      </c>
      <c r="D83">
        <v>79</v>
      </c>
      <c r="E83">
        <v>50000</v>
      </c>
      <c r="F83" cm="1">
        <f t="array" aca="1" ref="F83" ca="1">IFERROR(MATCH(TRUE, INDEX(ISNUMBER(FIND("control", INDIRECT("A" &amp; ROW() + 1 &amp; ":A1000"))), 0), 0) + ROW(), ROW())</f>
        <v>96</v>
      </c>
      <c r="G83">
        <v>16</v>
      </c>
      <c r="H83" s="3" cm="1">
        <f t="array" aca="1" ref="H83" ca="1">(B83-INDEX(B:B,F83))/INDEX(B:B,F83)/G83</f>
        <v>8.5950551286334775E-2</v>
      </c>
      <c r="I83" s="3">
        <f t="shared" ca="1" si="4"/>
        <v>8.1887824897400829</v>
      </c>
      <c r="J83" s="9">
        <v>0</v>
      </c>
      <c r="K83" s="4">
        <f t="shared" ca="1" si="5"/>
        <v>0.70383036935704513</v>
      </c>
    </row>
    <row r="84" spans="1:11" x14ac:dyDescent="0.4">
      <c r="A84" t="s">
        <v>61</v>
      </c>
      <c r="B84">
        <v>744.6</v>
      </c>
      <c r="C84">
        <v>0.01</v>
      </c>
      <c r="D84">
        <v>82.7</v>
      </c>
      <c r="E84">
        <v>50000</v>
      </c>
      <c r="F84" cm="1">
        <f t="array" aca="1" ref="F84" ca="1">IFERROR(MATCH(TRUE, INDEX(ISNUMBER(FIND("control", INDIRECT("A" &amp; ROW() + 1 &amp; ":A1000"))), 0), 0) + ROW(), ROW())</f>
        <v>96</v>
      </c>
      <c r="G84">
        <v>16</v>
      </c>
      <c r="H84" s="3" cm="1">
        <f t="array" aca="1" ref="H84" ca="1">(B84-INDEX(B:B,F84))/INDEX(B:B,F84)/G84</f>
        <v>9.298780487804878E-2</v>
      </c>
      <c r="I84" s="3">
        <f t="shared" ca="1" si="4"/>
        <v>8.1887824897400829</v>
      </c>
      <c r="J84" s="9">
        <v>0</v>
      </c>
      <c r="K84" s="4">
        <f t="shared" ca="1" si="5"/>
        <v>0.76145690834473334</v>
      </c>
    </row>
    <row r="85" spans="1:11" x14ac:dyDescent="0.4">
      <c r="A85" t="s">
        <v>62</v>
      </c>
      <c r="B85">
        <v>752.6</v>
      </c>
      <c r="C85">
        <v>0.02</v>
      </c>
      <c r="D85">
        <v>83.6</v>
      </c>
      <c r="E85">
        <v>50000</v>
      </c>
      <c r="F85" cm="1">
        <f t="array" aca="1" ref="F85" ca="1">IFERROR(MATCH(TRUE, INDEX(ISNUMBER(FIND("control", INDIRECT("A" &amp; ROW() + 1 &amp; ":A1000"))), 0), 0) + ROW(), ROW())</f>
        <v>96</v>
      </c>
      <c r="G85">
        <v>16</v>
      </c>
      <c r="H85" s="3" cm="1">
        <f t="array" aca="1" ref="H85" ca="1">(B85-INDEX(B:B,F85))/INDEX(B:B,F85)/G85</f>
        <v>9.4658369528900763E-2</v>
      </c>
      <c r="I85" s="3">
        <f t="shared" ca="1" si="4"/>
        <v>8.1887824897400829</v>
      </c>
      <c r="J85" s="9">
        <v>0</v>
      </c>
      <c r="K85" s="4">
        <f t="shared" ca="1" si="5"/>
        <v>0.77513679890560883</v>
      </c>
    </row>
    <row r="86" spans="1:11" x14ac:dyDescent="0.4">
      <c r="A86" t="s">
        <v>63</v>
      </c>
      <c r="B86">
        <v>1769.8</v>
      </c>
      <c r="C86">
        <v>0.04</v>
      </c>
      <c r="D86">
        <v>196.6</v>
      </c>
      <c r="E86">
        <v>50000</v>
      </c>
      <c r="F86" cm="1">
        <f t="array" aca="1" ref="F86" ca="1">IFERROR(MATCH(TRUE, INDEX(ISNUMBER(FIND("control", INDIRECT("A" &amp; ROW() + 1 &amp; ":A1000"))), 0), 0) + ROW(), ROW())</f>
        <v>96</v>
      </c>
      <c r="G86">
        <v>16</v>
      </c>
      <c r="H86" s="3" cm="1">
        <f t="array" aca="1" ref="H86" ca="1">(B86-INDEX(B:B,F86))/INDEX(B:B,F86)/G86</f>
        <v>0.307070664884731</v>
      </c>
      <c r="I86" s="3">
        <f t="shared" ca="1" si="4"/>
        <v>8.1887824897400829</v>
      </c>
      <c r="J86" s="9">
        <v>0</v>
      </c>
      <c r="K86" s="4">
        <f t="shared" ca="1" si="5"/>
        <v>2.51453488372093</v>
      </c>
    </row>
    <row r="87" spans="1:11" x14ac:dyDescent="0.4">
      <c r="A87" t="s">
        <v>64</v>
      </c>
      <c r="B87">
        <v>1917.8</v>
      </c>
      <c r="C87">
        <v>0.04</v>
      </c>
      <c r="D87">
        <v>213.1</v>
      </c>
      <c r="E87">
        <v>50000</v>
      </c>
      <c r="F87" cm="1">
        <f t="array" aca="1" ref="F87" ca="1">IFERROR(MATCH(TRUE, INDEX(ISNUMBER(FIND("control", INDIRECT("A" &amp; ROW() + 1 &amp; ":A1000"))), 0), 0) + ROW(), ROW())</f>
        <v>96</v>
      </c>
      <c r="G87">
        <v>16</v>
      </c>
      <c r="H87" s="3" cm="1">
        <f t="array" aca="1" ref="H87" ca="1">(B87-INDEX(B:B,F87))/INDEX(B:B,F87)/G87</f>
        <v>0.33797611092549279</v>
      </c>
      <c r="I87" s="3">
        <f t="shared" ca="1" si="4"/>
        <v>8.1887824897400829</v>
      </c>
      <c r="J87" s="9">
        <v>0</v>
      </c>
      <c r="K87" s="4">
        <f t="shared" ca="1" si="5"/>
        <v>2.7676128590971274</v>
      </c>
    </row>
    <row r="88" spans="1:11" x14ac:dyDescent="0.4">
      <c r="A88" t="s">
        <v>65</v>
      </c>
      <c r="B88">
        <v>2015.4</v>
      </c>
      <c r="C88">
        <v>0.04</v>
      </c>
      <c r="D88">
        <v>223.9</v>
      </c>
      <c r="E88">
        <v>50000</v>
      </c>
      <c r="F88" cm="1">
        <f t="array" aca="1" ref="F88" ca="1">IFERROR(MATCH(TRUE, INDEX(ISNUMBER(FIND("control", INDIRECT("A" &amp; ROW() + 1 &amp; ":A1000"))), 0), 0) + ROW(), ROW())</f>
        <v>96</v>
      </c>
      <c r="G88">
        <v>16</v>
      </c>
      <c r="H88" s="3" cm="1">
        <f t="array" aca="1" ref="H88" ca="1">(B88-INDEX(B:B,F88))/INDEX(B:B,F88)/G88</f>
        <v>0.35835699966588708</v>
      </c>
      <c r="I88" s="3">
        <f t="shared" ca="1" si="4"/>
        <v>8.1887824897400829</v>
      </c>
      <c r="J88" s="9">
        <v>0</v>
      </c>
      <c r="K88" s="4">
        <f t="shared" ca="1" si="5"/>
        <v>2.9345075239398088</v>
      </c>
    </row>
    <row r="89" spans="1:11" x14ac:dyDescent="0.4">
      <c r="A89" t="s">
        <v>66</v>
      </c>
      <c r="B89">
        <v>756</v>
      </c>
      <c r="C89">
        <v>0.02</v>
      </c>
      <c r="D89">
        <v>84</v>
      </c>
      <c r="E89">
        <v>50000</v>
      </c>
      <c r="F89" cm="1">
        <f t="array" aca="1" ref="F89" ca="1">IFERROR(MATCH(TRUE, INDEX(ISNUMBER(FIND("control", INDIRECT("A" &amp; ROW() + 1 &amp; ":A1000"))), 0), 0) + ROW(), ROW())</f>
        <v>96</v>
      </c>
      <c r="G89">
        <v>16</v>
      </c>
      <c r="H89" s="3" cm="1">
        <f t="array" aca="1" ref="H89" ca="1">(B89-INDEX(B:B,F89))/INDEX(B:B,F89)/G89</f>
        <v>9.5368359505512854E-2</v>
      </c>
      <c r="I89" s="3">
        <f t="shared" ca="1" si="4"/>
        <v>8.1887824897400829</v>
      </c>
      <c r="J89" s="9">
        <v>0</v>
      </c>
      <c r="K89" s="4">
        <f t="shared" ca="1" si="5"/>
        <v>0.78095075239398082</v>
      </c>
    </row>
    <row r="90" spans="1:11" x14ac:dyDescent="0.4">
      <c r="A90" t="s">
        <v>67</v>
      </c>
      <c r="B90">
        <v>810.8</v>
      </c>
      <c r="C90">
        <v>0.02</v>
      </c>
      <c r="D90">
        <v>90.1</v>
      </c>
      <c r="E90">
        <v>50000</v>
      </c>
      <c r="F90" cm="1">
        <f t="array" aca="1" ref="F90" ca="1">IFERROR(MATCH(TRUE, INDEX(ISNUMBER(FIND("control", INDIRECT("A" &amp; ROW() + 1 &amp; ":A1000"))), 0), 0) + ROW(), ROW())</f>
        <v>96</v>
      </c>
      <c r="G90">
        <v>16</v>
      </c>
      <c r="H90" s="3" cm="1">
        <f t="array" aca="1" ref="H90" ca="1">(B90-INDEX(B:B,F90))/INDEX(B:B,F90)/G90</f>
        <v>0.10681172736384896</v>
      </c>
      <c r="I90" s="3">
        <f t="shared" ca="1" si="4"/>
        <v>8.1887824897400829</v>
      </c>
      <c r="J90" s="9">
        <v>0</v>
      </c>
      <c r="K90" s="4">
        <f t="shared" ca="1" si="5"/>
        <v>0.87465800273597805</v>
      </c>
    </row>
    <row r="91" spans="1:11" x14ac:dyDescent="0.4">
      <c r="A91" t="s">
        <v>68</v>
      </c>
      <c r="B91">
        <v>971.8</v>
      </c>
      <c r="C91">
        <v>0.02</v>
      </c>
      <c r="D91">
        <v>108</v>
      </c>
      <c r="E91">
        <v>50000</v>
      </c>
      <c r="F91" cm="1">
        <f t="array" aca="1" ref="F91" ca="1">IFERROR(MATCH(TRUE, INDEX(ISNUMBER(FIND("control", INDIRECT("A" &amp; ROW() + 1 &amp; ":A1000"))), 0), 0) + ROW(), ROW())</f>
        <v>96</v>
      </c>
      <c r="G91">
        <v>16</v>
      </c>
      <c r="H91" s="3" cm="1">
        <f t="array" aca="1" ref="H91" ca="1">(B91-INDEX(B:B,F91))/INDEX(B:B,F91)/G91</f>
        <v>0.14043184096224523</v>
      </c>
      <c r="I91" s="3">
        <f t="shared" ca="1" si="4"/>
        <v>8.1887824897400829</v>
      </c>
      <c r="J91" s="9">
        <v>0</v>
      </c>
      <c r="K91" s="4">
        <f t="shared" ca="1" si="5"/>
        <v>1.149965800273598</v>
      </c>
    </row>
    <row r="92" spans="1:11" x14ac:dyDescent="0.4">
      <c r="A92" t="s">
        <v>69</v>
      </c>
      <c r="B92">
        <v>997.8</v>
      </c>
      <c r="C92">
        <v>0.02</v>
      </c>
      <c r="D92">
        <v>110.9</v>
      </c>
      <c r="E92">
        <v>50000</v>
      </c>
      <c r="F92" cm="1">
        <f t="array" aca="1" ref="F92" ca="1">IFERROR(MATCH(TRUE, INDEX(ISNUMBER(FIND("control", INDIRECT("A" &amp; ROW() + 1 &amp; ":A1000"))), 0), 0) + ROW(), ROW())</f>
        <v>96</v>
      </c>
      <c r="G92">
        <v>16</v>
      </c>
      <c r="H92" s="3" cm="1">
        <f t="array" aca="1" ref="H92" ca="1">(B92-INDEX(B:B,F92))/INDEX(B:B,F92)/G92</f>
        <v>0.1458611760775142</v>
      </c>
      <c r="I92" s="3">
        <f t="shared" ca="1" si="4"/>
        <v>8.1887824897400829</v>
      </c>
      <c r="J92" s="9">
        <v>0</v>
      </c>
      <c r="K92" s="4">
        <f t="shared" ca="1" si="5"/>
        <v>1.1944254445964433</v>
      </c>
    </row>
    <row r="93" spans="1:11" x14ac:dyDescent="0.4">
      <c r="A93" t="s">
        <v>70</v>
      </c>
      <c r="B93">
        <v>874.6</v>
      </c>
      <c r="C93">
        <v>0.02</v>
      </c>
      <c r="D93">
        <v>97.2</v>
      </c>
      <c r="E93">
        <v>50000</v>
      </c>
      <c r="F93" cm="1">
        <f t="array" aca="1" ref="F93" ca="1">IFERROR(MATCH(TRUE, INDEX(ISNUMBER(FIND("control", INDIRECT("A" &amp; ROW() + 1 &amp; ":A1000"))), 0), 0) + ROW(), ROW())</f>
        <v>96</v>
      </c>
      <c r="G93">
        <v>16</v>
      </c>
      <c r="H93" s="3" cm="1">
        <f t="array" aca="1" ref="H93" ca="1">(B93-INDEX(B:B,F93))/INDEX(B:B,F93)/G93</f>
        <v>0.12013448045439357</v>
      </c>
      <c r="I93" s="3">
        <f t="shared" ca="1" si="4"/>
        <v>8.1887824897400829</v>
      </c>
      <c r="J93" s="9">
        <v>0</v>
      </c>
      <c r="K93" s="4">
        <f t="shared" ca="1" si="5"/>
        <v>0.98375512995896031</v>
      </c>
    </row>
    <row r="94" spans="1:11" x14ac:dyDescent="0.4">
      <c r="A94" t="s">
        <v>71</v>
      </c>
      <c r="B94">
        <v>931.9</v>
      </c>
      <c r="C94">
        <v>0.02</v>
      </c>
      <c r="D94">
        <v>103.5</v>
      </c>
      <c r="E94">
        <v>50000</v>
      </c>
      <c r="F94" cm="1">
        <f t="array" aca="1" ref="F94" ca="1">IFERROR(MATCH(TRUE, INDEX(ISNUMBER(FIND("control", INDIRECT("A" &amp; ROW() + 1 &amp; ":A1000"))), 0), 0) + ROW(), ROW())</f>
        <v>96</v>
      </c>
      <c r="G94">
        <v>16</v>
      </c>
      <c r="H94" s="3" cm="1">
        <f t="array" aca="1" ref="H94" ca="1">(B94-INDEX(B:B,F94))/INDEX(B:B,F94)/G94</f>
        <v>0.13209989976612094</v>
      </c>
      <c r="I94" s="3">
        <f t="shared" ca="1" si="4"/>
        <v>8.1887824897400829</v>
      </c>
      <c r="J94" s="9">
        <v>0</v>
      </c>
      <c r="K94" s="4">
        <f t="shared" ca="1" si="5"/>
        <v>1.0817373461012312</v>
      </c>
    </row>
    <row r="95" spans="1:11" x14ac:dyDescent="0.4">
      <c r="A95" t="s">
        <v>72</v>
      </c>
      <c r="B95">
        <v>961.8</v>
      </c>
      <c r="C95">
        <v>0.02</v>
      </c>
      <c r="D95">
        <v>106.9</v>
      </c>
      <c r="E95">
        <v>50000</v>
      </c>
      <c r="F95" cm="1">
        <f t="array" aca="1" ref="F95" ca="1">IFERROR(MATCH(TRUE, INDEX(ISNUMBER(FIND("control", INDIRECT("A" &amp; ROW() + 1 &amp; ":A1000"))), 0), 0) + ROW(), ROW())</f>
        <v>96</v>
      </c>
      <c r="G95">
        <v>16</v>
      </c>
      <c r="H95" s="3" cm="1">
        <f t="array" aca="1" ref="H95" ca="1">(B95-INDEX(B:B,F95))/INDEX(B:B,F95)/G95</f>
        <v>0.13834363514868026</v>
      </c>
      <c r="I95" s="3">
        <f t="shared" ca="1" si="4"/>
        <v>8.1887824897400829</v>
      </c>
      <c r="J95" s="9">
        <v>0</v>
      </c>
      <c r="K95" s="4">
        <f t="shared" ca="1" si="5"/>
        <v>1.1328659370725036</v>
      </c>
    </row>
    <row r="96" spans="1:11" x14ac:dyDescent="0.4">
      <c r="A96" t="s">
        <v>119</v>
      </c>
      <c r="B96">
        <v>299.3</v>
      </c>
      <c r="C96">
        <v>0.01</v>
      </c>
      <c r="D96">
        <v>33.299999999999997</v>
      </c>
      <c r="E96">
        <v>50000</v>
      </c>
      <c r="F96" cm="1">
        <f t="array" aca="1" ref="F96" ca="1">IFERROR(MATCH(TRUE, INDEX(ISNUMBER(FIND("control", INDIRECT("A" &amp; ROW() + 1 &amp; ":A1000"))), 0), 0) + ROW(), ROW())</f>
        <v>109</v>
      </c>
      <c r="G96">
        <v>1</v>
      </c>
      <c r="H96" s="3" cm="1">
        <f t="array" aca="1" ref="H96" ca="1">(B96-INDEX(B:B,F96))/INDEX(B:B,F96)/G96</f>
        <v>0.78900179318589359</v>
      </c>
      <c r="I96" s="3">
        <f t="shared" ca="1" si="4"/>
        <v>8.1887824897400829</v>
      </c>
      <c r="J96" s="9">
        <v>0</v>
      </c>
      <c r="K96" s="4">
        <f t="shared" ca="1" si="5"/>
        <v>6.4609640684141718</v>
      </c>
    </row>
    <row r="97" spans="1:17" x14ac:dyDescent="0.4">
      <c r="A97" t="s">
        <v>73</v>
      </c>
      <c r="B97">
        <v>289.8</v>
      </c>
      <c r="C97">
        <v>0.01</v>
      </c>
      <c r="D97">
        <v>32.200000000000003</v>
      </c>
      <c r="E97">
        <v>50000</v>
      </c>
      <c r="F97" cm="1">
        <f t="array" aca="1" ref="F97" ca="1">IFERROR(MATCH(TRUE, INDEX(ISNUMBER(FIND("control", INDIRECT("A" &amp; ROW() + 1 &amp; ":A1000"))), 0), 0) + ROW(), ROW())</f>
        <v>109</v>
      </c>
      <c r="G97">
        <v>1</v>
      </c>
      <c r="H97" s="3" cm="1">
        <f t="array" aca="1" ref="H97" ca="1">(B97-INDEX(B:B,F97))/INDEX(B:B,F97)/G97</f>
        <v>0.73221757322175729</v>
      </c>
      <c r="I97" s="3">
        <f t="shared" ref="I97:I102" ca="1" si="6">$N$4</f>
        <v>4.5857181942544472</v>
      </c>
      <c r="J97" s="9">
        <v>0</v>
      </c>
      <c r="K97" s="4">
        <f t="shared" ca="1" si="5"/>
        <v>3.3577434476758503</v>
      </c>
    </row>
    <row r="98" spans="1:17" x14ac:dyDescent="0.4">
      <c r="A98" t="s">
        <v>74</v>
      </c>
      <c r="B98">
        <v>294.10000000000002</v>
      </c>
      <c r="C98">
        <v>0.01</v>
      </c>
      <c r="D98">
        <v>32.700000000000003</v>
      </c>
      <c r="E98">
        <v>50000</v>
      </c>
      <c r="F98" cm="1">
        <f t="array" aca="1" ref="F98" ca="1">IFERROR(MATCH(TRUE, INDEX(ISNUMBER(FIND("control", INDIRECT("A" &amp; ROW() + 1 &amp; ":A1000"))), 0), 0) + ROW(), ROW())</f>
        <v>109</v>
      </c>
      <c r="G98">
        <v>1</v>
      </c>
      <c r="H98" s="3" cm="1">
        <f t="array" aca="1" ref="H98" ca="1">(B98-INDEX(B:B,F98))/INDEX(B:B,F98)/G98</f>
        <v>0.75791990436341905</v>
      </c>
      <c r="I98" s="3">
        <f t="shared" ca="1" si="6"/>
        <v>4.5857181942544472</v>
      </c>
      <c r="J98" s="9">
        <v>0</v>
      </c>
      <c r="K98" s="4">
        <f t="shared" ca="1" si="5"/>
        <v>3.4756070952269211</v>
      </c>
    </row>
    <row r="99" spans="1:17" x14ac:dyDescent="0.4">
      <c r="A99" t="s">
        <v>75</v>
      </c>
      <c r="B99">
        <v>534.20000000000005</v>
      </c>
      <c r="C99">
        <v>0.01</v>
      </c>
      <c r="D99">
        <v>59.4</v>
      </c>
      <c r="E99">
        <v>50000</v>
      </c>
      <c r="F99" cm="1">
        <f t="array" aca="1" ref="F99" ca="1">IFERROR(MATCH(TRUE, INDEX(ISNUMBER(FIND("control", INDIRECT("A" &amp; ROW() + 1 &amp; ":A1000"))), 0), 0) + ROW(), ROW())</f>
        <v>109</v>
      </c>
      <c r="G99">
        <v>1</v>
      </c>
      <c r="H99" s="3" cm="1">
        <f t="array" aca="1" ref="H99" ca="1">(B99-INDEX(B:B,F99))/INDEX(B:B,F99)/G99</f>
        <v>2.1930663478780632</v>
      </c>
      <c r="I99" s="3">
        <f t="shared" ca="1" si="6"/>
        <v>4.5857181942544472</v>
      </c>
      <c r="J99" s="9">
        <v>0</v>
      </c>
      <c r="K99" s="4">
        <f t="shared" ca="1" si="5"/>
        <v>10.056784252671587</v>
      </c>
    </row>
    <row r="100" spans="1:17" x14ac:dyDescent="0.4">
      <c r="A100" t="s">
        <v>76</v>
      </c>
      <c r="B100">
        <v>412.3</v>
      </c>
      <c r="C100">
        <v>0.01</v>
      </c>
      <c r="D100">
        <v>45.8</v>
      </c>
      <c r="E100">
        <v>50000</v>
      </c>
      <c r="F100" cm="1">
        <f t="array" aca="1" ref="F100" ca="1">IFERROR(MATCH(TRUE, INDEX(ISNUMBER(FIND("control", INDIRECT("A" &amp; ROW() + 1 &amp; ":A1000"))), 0), 0) + ROW(), ROW())</f>
        <v>109</v>
      </c>
      <c r="G100">
        <v>1</v>
      </c>
      <c r="H100" s="3" cm="1">
        <f t="array" aca="1" ref="H100" ca="1">(B100-INDEX(B:B,F100))/INDEX(B:B,F100)/G100</f>
        <v>1.4644351464435146</v>
      </c>
      <c r="I100" s="3">
        <f t="shared" ca="1" si="6"/>
        <v>4.5857181942544472</v>
      </c>
      <c r="J100" s="9">
        <v>0</v>
      </c>
      <c r="K100" s="4">
        <f t="shared" ca="1" si="5"/>
        <v>6.7154868953517006</v>
      </c>
    </row>
    <row r="101" spans="1:17" x14ac:dyDescent="0.4">
      <c r="A101" t="s">
        <v>77</v>
      </c>
      <c r="B101">
        <v>764.2</v>
      </c>
      <c r="C101">
        <v>0.02</v>
      </c>
      <c r="D101">
        <v>84.9</v>
      </c>
      <c r="E101">
        <v>50000</v>
      </c>
      <c r="F101" cm="1">
        <f t="array" aca="1" ref="F101" ca="1">IFERROR(MATCH(TRUE, INDEX(ISNUMBER(FIND("control", INDIRECT("A" &amp; ROW() + 1 &amp; ":A1000"))), 0), 0) + ROW(), ROW())</f>
        <v>109</v>
      </c>
      <c r="G101">
        <v>1</v>
      </c>
      <c r="H101" s="3" cm="1">
        <f t="array" aca="1" ref="H101" ca="1">(B101-INDEX(B:B,F101))/INDEX(B:B,F101)/G101</f>
        <v>3.5678421996413632</v>
      </c>
      <c r="I101" s="3">
        <f t="shared" ca="1" si="6"/>
        <v>4.5857181942544472</v>
      </c>
      <c r="J101" s="9">
        <v>0</v>
      </c>
      <c r="K101" s="4">
        <f t="shared" ca="1" si="5"/>
        <v>16.361118889124207</v>
      </c>
    </row>
    <row r="102" spans="1:17" x14ac:dyDescent="0.4">
      <c r="A102" t="s">
        <v>78</v>
      </c>
      <c r="B102">
        <v>333.6</v>
      </c>
      <c r="C102">
        <v>0.01</v>
      </c>
      <c r="D102">
        <v>37.1</v>
      </c>
      <c r="E102">
        <v>50000</v>
      </c>
      <c r="F102" cm="1">
        <f t="array" aca="1" ref="F102" ca="1">IFERROR(MATCH(TRUE, INDEX(ISNUMBER(FIND("control", INDIRECT("A" &amp; ROW() + 1 &amp; ":A1000"))), 0), 0) + ROW(), ROW())</f>
        <v>109</v>
      </c>
      <c r="G102">
        <v>1</v>
      </c>
      <c r="H102" s="3" cm="1">
        <f t="array" aca="1" ref="H102" ca="1">(B102-INDEX(B:B,F102))/INDEX(B:B,F102)/G102</f>
        <v>0.99402271368798567</v>
      </c>
      <c r="I102" s="3">
        <f t="shared" ca="1" si="6"/>
        <v>4.5857181942544472</v>
      </c>
      <c r="J102" s="9">
        <v>0</v>
      </c>
      <c r="K102" s="4">
        <f t="shared" ca="1" si="5"/>
        <v>4.5583080436611754</v>
      </c>
    </row>
    <row r="103" spans="1:17" x14ac:dyDescent="0.4">
      <c r="A103" t="s">
        <v>79</v>
      </c>
      <c r="B103">
        <v>401.5</v>
      </c>
      <c r="C103">
        <v>0.01</v>
      </c>
      <c r="D103">
        <v>44.6</v>
      </c>
      <c r="E103">
        <v>50000</v>
      </c>
      <c r="F103" cm="1">
        <f t="array" aca="1" ref="F103" ca="1">IFERROR(MATCH(TRUE, INDEX(ISNUMBER(FIND("control", INDIRECT("A" &amp; ROW() + 1 &amp; ":A1000"))), 0), 0) + ROW(), ROW())</f>
        <v>109</v>
      </c>
      <c r="G103">
        <v>1</v>
      </c>
      <c r="H103" s="3" cm="1">
        <f t="array" aca="1" ref="H103" ca="1">(B103-INDEX(B:B,F103))/INDEX(B:B,F103)/G103</f>
        <v>1.3998804542737595</v>
      </c>
      <c r="I103" s="3">
        <f t="shared" ref="I103:I104" ca="1" si="7">$N$4</f>
        <v>4.5857181942544472</v>
      </c>
      <c r="J103" s="9">
        <v>0</v>
      </c>
      <c r="K103" s="4">
        <f t="shared" ca="1" si="5"/>
        <v>6.4194572689443596</v>
      </c>
    </row>
    <row r="104" spans="1:17" x14ac:dyDescent="0.4">
      <c r="A104" t="s">
        <v>80</v>
      </c>
      <c r="B104">
        <v>300.7</v>
      </c>
      <c r="C104">
        <v>0.01</v>
      </c>
      <c r="D104">
        <v>33.4</v>
      </c>
      <c r="E104">
        <v>50000</v>
      </c>
      <c r="F104" cm="1">
        <f t="array" aca="1" ref="F104" ca="1">IFERROR(MATCH(TRUE, INDEX(ISNUMBER(FIND("control", INDIRECT("A" &amp; ROW() + 1 &amp; ":A1000"))), 0), 0) + ROW(), ROW())</f>
        <v>109</v>
      </c>
      <c r="G104">
        <v>1</v>
      </c>
      <c r="H104" s="3" cm="1">
        <f t="array" aca="1" ref="H104" ca="1">(B104-INDEX(B:B,F104))/INDEX(B:B,F104)/G104</f>
        <v>0.79736999402271347</v>
      </c>
      <c r="I104" s="3">
        <f t="shared" ca="1" si="7"/>
        <v>4.5857181942544472</v>
      </c>
      <c r="J104" s="9">
        <v>0</v>
      </c>
      <c r="K104" s="4">
        <f t="shared" ca="1" si="5"/>
        <v>3.656514089142517</v>
      </c>
      <c r="M104" t="s">
        <v>133</v>
      </c>
      <c r="N104">
        <v>920.5</v>
      </c>
      <c r="O104">
        <v>0.02</v>
      </c>
      <c r="P104">
        <v>6.8</v>
      </c>
      <c r="Q104">
        <v>50000</v>
      </c>
    </row>
    <row r="105" spans="1:17" x14ac:dyDescent="0.4">
      <c r="A105" t="s">
        <v>81</v>
      </c>
      <c r="B105">
        <v>427.3</v>
      </c>
      <c r="C105">
        <v>0.01</v>
      </c>
      <c r="D105">
        <v>47.5</v>
      </c>
      <c r="E105">
        <v>50000</v>
      </c>
      <c r="F105" cm="1">
        <f t="array" aca="1" ref="F105" ca="1">IFERROR(MATCH(TRUE, INDEX(ISNUMBER(FIND("control", INDIRECT("A" &amp; ROW() + 1 &amp; ":A1000"))), 0), 0) + ROW(), ROW())</f>
        <v>109</v>
      </c>
      <c r="G105">
        <v>1</v>
      </c>
      <c r="H105" s="3" cm="1">
        <f t="array" aca="1" ref="H105" ca="1">(B105-INDEX(B:B,F105))/INDEX(B:B,F105)/G105</f>
        <v>1.5540944411237296</v>
      </c>
      <c r="I105" s="3">
        <f t="shared" ref="I105:I128" ca="1" si="8">$N$4</f>
        <v>4.5857181942544472</v>
      </c>
      <c r="J105" s="9">
        <v>0</v>
      </c>
      <c r="K105" s="4">
        <f t="shared" ca="1" si="5"/>
        <v>7.1266391542507836</v>
      </c>
      <c r="M105" t="s">
        <v>464</v>
      </c>
      <c r="N105">
        <v>1070.9000000000001</v>
      </c>
      <c r="O105">
        <v>0.02</v>
      </c>
      <c r="P105">
        <v>7.9</v>
      </c>
      <c r="Q105">
        <v>50000</v>
      </c>
    </row>
    <row r="106" spans="1:17" x14ac:dyDescent="0.4">
      <c r="A106" t="s">
        <v>82</v>
      </c>
      <c r="B106">
        <v>413.5</v>
      </c>
      <c r="C106">
        <v>0.01</v>
      </c>
      <c r="D106">
        <v>45.9</v>
      </c>
      <c r="E106">
        <v>50000</v>
      </c>
      <c r="F106" cm="1">
        <f t="array" aca="1" ref="F106" ca="1">IFERROR(MATCH(TRUE, INDEX(ISNUMBER(FIND("control", INDIRECT("A" &amp; ROW() + 1 &amp; ":A1000"))), 0), 0) + ROW(), ROW())</f>
        <v>109</v>
      </c>
      <c r="G106">
        <v>1</v>
      </c>
      <c r="H106" s="3" cm="1">
        <f t="array" aca="1" ref="H106" ca="1">(B106-INDEX(B:B,F106))/INDEX(B:B,F106)/G106</f>
        <v>1.4716078900179317</v>
      </c>
      <c r="I106" s="3">
        <f t="shared" ca="1" si="8"/>
        <v>4.5857181942544472</v>
      </c>
      <c r="J106" s="9">
        <v>0</v>
      </c>
      <c r="K106" s="4">
        <f t="shared" ca="1" si="5"/>
        <v>6.7483790760636264</v>
      </c>
      <c r="M106" t="s">
        <v>465</v>
      </c>
      <c r="N106">
        <v>896.1</v>
      </c>
      <c r="O106">
        <v>0.02</v>
      </c>
      <c r="P106">
        <v>6.6</v>
      </c>
      <c r="Q106">
        <v>50000</v>
      </c>
    </row>
    <row r="107" spans="1:17" x14ac:dyDescent="0.4">
      <c r="A107" t="s">
        <v>83</v>
      </c>
      <c r="B107">
        <v>320.8</v>
      </c>
      <c r="C107">
        <v>0.01</v>
      </c>
      <c r="D107">
        <v>35.6</v>
      </c>
      <c r="E107">
        <v>50000</v>
      </c>
      <c r="F107" cm="1">
        <f t="array" aca="1" ref="F107" ca="1">IFERROR(MATCH(TRUE, INDEX(ISNUMBER(FIND("control", INDIRECT("A" &amp; ROW() + 1 &amp; ":A1000"))), 0), 0) + ROW(), ROW())</f>
        <v>109</v>
      </c>
      <c r="G107">
        <v>1</v>
      </c>
      <c r="H107" s="3" cm="1">
        <f t="array" aca="1" ref="H107" ca="1">(B107-INDEX(B:B,F107))/INDEX(B:B,F107)/G107</f>
        <v>0.91751344889420194</v>
      </c>
      <c r="I107" s="3">
        <f t="shared" ca="1" si="8"/>
        <v>4.5857181942544472</v>
      </c>
      <c r="J107" s="9">
        <v>0</v>
      </c>
      <c r="K107" s="4">
        <f t="shared" ca="1" si="5"/>
        <v>4.2074581160672899</v>
      </c>
      <c r="M107" t="s">
        <v>261</v>
      </c>
      <c r="N107">
        <v>789.9</v>
      </c>
      <c r="O107">
        <v>0.02</v>
      </c>
      <c r="P107">
        <v>5.8</v>
      </c>
      <c r="Q107">
        <v>50000</v>
      </c>
    </row>
    <row r="108" spans="1:17" x14ac:dyDescent="0.4">
      <c r="A108" t="s">
        <v>84</v>
      </c>
      <c r="B108">
        <v>291.7</v>
      </c>
      <c r="C108">
        <v>0.01</v>
      </c>
      <c r="D108">
        <v>32.4</v>
      </c>
      <c r="E108">
        <v>50000</v>
      </c>
      <c r="F108" cm="1">
        <f t="array" aca="1" ref="F108" ca="1">IFERROR(MATCH(TRUE, INDEX(ISNUMBER(FIND("control", INDIRECT("A" &amp; ROW() + 1 &amp; ":A1000"))), 0), 0) + ROW(), ROW())</f>
        <v>109</v>
      </c>
      <c r="G108">
        <v>1</v>
      </c>
      <c r="H108" s="3" cm="1">
        <f t="array" aca="1" ref="H108" ca="1">(B108-INDEX(B:B,F108))/INDEX(B:B,F108)/G108</f>
        <v>0.74357441721458439</v>
      </c>
      <c r="I108" s="3">
        <f t="shared" ca="1" si="8"/>
        <v>4.5857181942544472</v>
      </c>
      <c r="J108" s="9">
        <v>0</v>
      </c>
      <c r="K108" s="4">
        <f t="shared" ca="1" si="5"/>
        <v>3.4098227338030669</v>
      </c>
      <c r="M108" t="s">
        <v>276</v>
      </c>
      <c r="N108">
        <v>699.6</v>
      </c>
      <c r="O108">
        <v>0.01</v>
      </c>
      <c r="P108">
        <v>5.0999999999999996</v>
      </c>
      <c r="Q108">
        <v>50000</v>
      </c>
    </row>
    <row r="109" spans="1:17" x14ac:dyDescent="0.4">
      <c r="A109" t="s">
        <v>120</v>
      </c>
      <c r="B109">
        <v>167.3</v>
      </c>
      <c r="C109">
        <v>0</v>
      </c>
      <c r="D109">
        <v>18.600000000000001</v>
      </c>
      <c r="E109">
        <v>50000</v>
      </c>
      <c r="F109" cm="1">
        <f t="array" aca="1" ref="F109" ca="1">IFERROR(MATCH(TRUE, INDEX(ISNUMBER(FIND("control", INDIRECT("A" &amp; ROW() + 1 &amp; ":A1000"))), 0), 0) + ROW(), ROW())</f>
        <v>114</v>
      </c>
      <c r="G109">
        <v>1</v>
      </c>
      <c r="H109" s="3" cm="1">
        <f t="array" aca="1" ref="H109" ca="1">(B109-INDEX(B:B,F109))/INDEX(B:B,F109)/G109</f>
        <v>-0.41195079086115988</v>
      </c>
      <c r="I109" s="3">
        <f t="shared" ca="1" si="8"/>
        <v>4.5857181942544472</v>
      </c>
      <c r="J109" s="9">
        <v>0</v>
      </c>
      <c r="K109" s="4">
        <f t="shared" ca="1" si="5"/>
        <v>0.1</v>
      </c>
      <c r="M109" t="s">
        <v>277</v>
      </c>
      <c r="N109">
        <v>682</v>
      </c>
      <c r="O109">
        <v>0.01</v>
      </c>
      <c r="P109">
        <v>5</v>
      </c>
      <c r="Q109">
        <v>50000</v>
      </c>
    </row>
    <row r="110" spans="1:17" x14ac:dyDescent="0.4">
      <c r="A110" t="s">
        <v>85</v>
      </c>
      <c r="B110">
        <v>383.4</v>
      </c>
      <c r="C110">
        <v>0.01</v>
      </c>
      <c r="D110">
        <v>42.6</v>
      </c>
      <c r="E110">
        <v>50000</v>
      </c>
      <c r="F110" cm="1">
        <f t="array" aca="1" ref="F110" ca="1">IFERROR(MATCH(TRUE, INDEX(ISNUMBER(FIND("control", INDIRECT("A" &amp; ROW() + 1 &amp; ":A1000"))), 0), 0) + ROW(), ROW())</f>
        <v>114</v>
      </c>
      <c r="G110">
        <v>1</v>
      </c>
      <c r="H110" s="3" cm="1">
        <f t="array" aca="1" ref="H110" ca="1">(B110-INDEX(B:B,F110))/INDEX(B:B,F110)/G110</f>
        <v>0.34762741652021084</v>
      </c>
      <c r="I110" s="3">
        <f t="shared" ref="I110:I114" ca="1" si="9">$N$3</f>
        <v>8.1887824897400829</v>
      </c>
      <c r="J110" s="9">
        <v>0</v>
      </c>
      <c r="K110" s="4">
        <f t="shared" ca="1" si="5"/>
        <v>2.8466453013542852</v>
      </c>
      <c r="M110" t="s">
        <v>286</v>
      </c>
      <c r="N110">
        <v>672</v>
      </c>
      <c r="O110">
        <v>0.01</v>
      </c>
      <c r="P110">
        <v>4.9000000000000004</v>
      </c>
      <c r="Q110">
        <v>50000</v>
      </c>
    </row>
    <row r="111" spans="1:17" x14ac:dyDescent="0.4">
      <c r="A111" t="s">
        <v>86</v>
      </c>
      <c r="B111">
        <v>2505.3000000000002</v>
      </c>
      <c r="C111">
        <v>0.05</v>
      </c>
      <c r="D111">
        <v>278.39999999999998</v>
      </c>
      <c r="E111">
        <v>50000</v>
      </c>
      <c r="F111" cm="1">
        <f t="array" aca="1" ref="F111" ca="1">IFERROR(MATCH(TRUE, INDEX(ISNUMBER(FIND("control", INDIRECT("A" &amp; ROW() + 1 &amp; ":A1000"))), 0), 0) + ROW(), ROW())</f>
        <v>114</v>
      </c>
      <c r="G111">
        <v>1</v>
      </c>
      <c r="H111" s="3" cm="1">
        <f t="array" aca="1" ref="H111" ca="1">(B111-INDEX(B:B,F111))/INDEX(B:B,F111)/G111</f>
        <v>7.8059753954305808</v>
      </c>
      <c r="I111" s="3">
        <f t="shared" ca="1" si="9"/>
        <v>8.1887824897400829</v>
      </c>
      <c r="J111" s="9">
        <v>0</v>
      </c>
      <c r="K111" s="4">
        <f t="shared" ca="1" si="5"/>
        <v>63.921434633443859</v>
      </c>
      <c r="M111" t="s">
        <v>466</v>
      </c>
      <c r="N111">
        <v>694.6</v>
      </c>
      <c r="O111">
        <v>0.01</v>
      </c>
      <c r="P111">
        <v>5.0999999999999996</v>
      </c>
      <c r="Q111">
        <v>50000</v>
      </c>
    </row>
    <row r="112" spans="1:17" x14ac:dyDescent="0.4">
      <c r="A112" t="s">
        <v>87</v>
      </c>
      <c r="B112">
        <v>353.2</v>
      </c>
      <c r="C112">
        <v>0.01</v>
      </c>
      <c r="D112">
        <v>39.200000000000003</v>
      </c>
      <c r="E112">
        <v>50000</v>
      </c>
      <c r="F112" cm="1">
        <f t="array" aca="1" ref="F112" ca="1">IFERROR(MATCH(TRUE, INDEX(ISNUMBER(FIND("control", INDIRECT("A" &amp; ROW() + 1 &amp; ":A1000"))), 0), 0) + ROW(), ROW())</f>
        <v>114</v>
      </c>
      <c r="G112">
        <v>1</v>
      </c>
      <c r="H112" s="3" cm="1">
        <f t="array" aca="1" ref="H112" ca="1">(B112-INDEX(B:B,F112))/INDEX(B:B,F112)/G112</f>
        <v>0.24147627416520207</v>
      </c>
      <c r="I112" s="3">
        <f t="shared" ca="1" si="9"/>
        <v>8.1887824897400829</v>
      </c>
      <c r="J112" s="9">
        <v>0</v>
      </c>
      <c r="K112" s="4">
        <f t="shared" ca="1" si="5"/>
        <v>1.9773966855716822</v>
      </c>
      <c r="M112" t="s">
        <v>122</v>
      </c>
      <c r="N112">
        <v>222.2</v>
      </c>
      <c r="O112">
        <v>0</v>
      </c>
      <c r="P112">
        <v>1.6</v>
      </c>
      <c r="Q112">
        <v>50000</v>
      </c>
    </row>
    <row r="113" spans="1:14" x14ac:dyDescent="0.4">
      <c r="A113" t="s">
        <v>88</v>
      </c>
      <c r="B113">
        <v>2478.6</v>
      </c>
      <c r="C113">
        <v>0.05</v>
      </c>
      <c r="D113">
        <v>275.39999999999998</v>
      </c>
      <c r="E113">
        <v>50000</v>
      </c>
      <c r="F113" cm="1">
        <f t="array" aca="1" ref="F113" ca="1">IFERROR(MATCH(TRUE, INDEX(ISNUMBER(FIND("control", INDIRECT("A" &amp; ROW() + 1 &amp; ":A1000"))), 0), 0) + ROW(), ROW())</f>
        <v>114</v>
      </c>
      <c r="G113">
        <v>1</v>
      </c>
      <c r="H113" s="3" cm="1">
        <f t="array" aca="1" ref="H113" ca="1">(B113-INDEX(B:B,F113))/INDEX(B:B,F113)/G113</f>
        <v>7.7121265377855881</v>
      </c>
      <c r="I113" s="3">
        <f t="shared" ca="1" si="9"/>
        <v>8.1887824897400829</v>
      </c>
      <c r="J113" s="9">
        <v>0</v>
      </c>
      <c r="K113" s="4">
        <f t="shared" ca="1" si="5"/>
        <v>63.152926751278436</v>
      </c>
    </row>
    <row r="114" spans="1:14" x14ac:dyDescent="0.4">
      <c r="A114" t="s">
        <v>121</v>
      </c>
      <c r="B114">
        <v>284.5</v>
      </c>
      <c r="C114">
        <v>0.01</v>
      </c>
      <c r="D114">
        <v>31.6</v>
      </c>
      <c r="E114">
        <v>50000</v>
      </c>
      <c r="F114" cm="1">
        <f t="array" aca="1" ref="F114" ca="1">IFERROR(MATCH(TRUE, INDEX(ISNUMBER(FIND("control", INDIRECT("A" &amp; ROW() + 1 &amp; ":A1000"))), 0), 0) + ROW(), ROW())</f>
        <v>123</v>
      </c>
      <c r="G114">
        <v>1</v>
      </c>
      <c r="H114" s="3" cm="1">
        <f t="array" aca="1" ref="H114" ca="1">(B114-INDEX(B:B,F114))/INDEX(B:B,F114)/G114</f>
        <v>0.28037803780378046</v>
      </c>
      <c r="I114" s="3">
        <f t="shared" ca="1" si="9"/>
        <v>8.1887824897400829</v>
      </c>
      <c r="J114" s="9">
        <v>0</v>
      </c>
      <c r="K114" s="4">
        <f t="shared" ca="1" si="5"/>
        <v>2.2959547664752806</v>
      </c>
    </row>
    <row r="115" spans="1:14" x14ac:dyDescent="0.4">
      <c r="A115" t="s">
        <v>133</v>
      </c>
      <c r="B115">
        <v>920.5</v>
      </c>
      <c r="C115">
        <v>0.02</v>
      </c>
      <c r="D115">
        <v>6.8</v>
      </c>
      <c r="E115">
        <v>50000</v>
      </c>
      <c r="F115" cm="1">
        <f t="array" aca="1" ref="F115" ca="1">IFERROR(MATCH(TRUE, INDEX(ISNUMBER(FIND("control", INDIRECT("A" &amp; ROW() + 1 &amp; ":A1000"))), 0), 0) + ROW(), ROW())</f>
        <v>123</v>
      </c>
      <c r="G115">
        <v>16</v>
      </c>
      <c r="H115" s="3" cm="1">
        <f t="array" aca="1" ref="H115" ca="1">(B115-INDEX(B:B,F115))/INDEX(B:B,F115)/G115</f>
        <v>0.19641651665166515</v>
      </c>
      <c r="I115" s="3">
        <f ca="1">$N$3</f>
        <v>8.1887824897400829</v>
      </c>
      <c r="J115" s="9">
        <v>1</v>
      </c>
      <c r="K115" s="4">
        <f t="shared" ca="1" si="5"/>
        <v>0.60841213225289703</v>
      </c>
      <c r="N115"/>
    </row>
    <row r="116" spans="1:14" x14ac:dyDescent="0.4">
      <c r="A116" t="s">
        <v>464</v>
      </c>
      <c r="B116">
        <v>1070.9000000000001</v>
      </c>
      <c r="C116">
        <v>0.02</v>
      </c>
      <c r="D116">
        <v>7.9</v>
      </c>
      <c r="E116">
        <v>50000</v>
      </c>
      <c r="F116" cm="1">
        <f t="array" aca="1" ref="F116" ca="1">IFERROR(MATCH(TRUE, INDEX(ISNUMBER(FIND("control", INDIRECT("A" &amp; ROW() + 1 &amp; ":A1000"))), 0), 0) + ROW(), ROW())</f>
        <v>123</v>
      </c>
      <c r="G116">
        <v>16</v>
      </c>
      <c r="H116" s="3" cm="1">
        <f t="array" aca="1" ref="H116" ca="1">(B116-INDEX(B:B,F116))/INDEX(B:B,F116)/G116</f>
        <v>0.2387207470747075</v>
      </c>
      <c r="I116" s="3">
        <f t="shared" ref="I116:I123" ca="1" si="10">$N$3</f>
        <v>8.1887824897400829</v>
      </c>
      <c r="J116" s="9">
        <v>1</v>
      </c>
      <c r="K116" s="4">
        <f t="shared" ca="1" si="5"/>
        <v>0.95483227358303591</v>
      </c>
      <c r="N116"/>
    </row>
    <row r="117" spans="1:14" x14ac:dyDescent="0.4">
      <c r="A117" t="s">
        <v>465</v>
      </c>
      <c r="B117">
        <v>896.1</v>
      </c>
      <c r="C117">
        <v>0.02</v>
      </c>
      <c r="D117">
        <v>6.6</v>
      </c>
      <c r="E117">
        <v>50000</v>
      </c>
      <c r="F117" cm="1">
        <f t="array" aca="1" ref="F117" ca="1">IFERROR(MATCH(TRUE, INDEX(ISNUMBER(FIND("control", INDIRECT("A" &amp; ROW() + 1 &amp; ":A1000"))), 0), 0) + ROW(), ROW())</f>
        <v>123</v>
      </c>
      <c r="G117">
        <v>16</v>
      </c>
      <c r="H117" s="3" cm="1">
        <f t="array" aca="1" ref="H117" ca="1">(B117-INDEX(B:B,F117))/INDEX(B:B,F117)/G117</f>
        <v>0.18955333033303334</v>
      </c>
      <c r="I117" s="3">
        <f t="shared" ca="1" si="10"/>
        <v>8.1887824897400829</v>
      </c>
      <c r="J117" s="9">
        <v>1</v>
      </c>
      <c r="K117" s="4">
        <f t="shared" ca="1" si="5"/>
        <v>0.55221099230306114</v>
      </c>
      <c r="N117"/>
    </row>
    <row r="118" spans="1:14" x14ac:dyDescent="0.4">
      <c r="A118" t="s">
        <v>261</v>
      </c>
      <c r="B118">
        <v>789.9</v>
      </c>
      <c r="C118">
        <v>0.02</v>
      </c>
      <c r="D118">
        <v>5.8</v>
      </c>
      <c r="E118">
        <v>50000</v>
      </c>
      <c r="F118" cm="1">
        <f t="array" aca="1" ref="F118" ca="1">IFERROR(MATCH(TRUE, INDEX(ISNUMBER(FIND("control", INDIRECT("A" &amp; ROW() + 1 &amp; ":A1000"))), 0), 0) + ROW(), ROW())</f>
        <v>123</v>
      </c>
      <c r="G118">
        <v>16</v>
      </c>
      <c r="H118" s="3" cm="1">
        <f t="array" aca="1" ref="H118" ca="1">(B118-INDEX(B:B,F118))/INDEX(B:B,F118)/G118</f>
        <v>0.15968159315931596</v>
      </c>
      <c r="I118" s="3">
        <f t="shared" ca="1" si="10"/>
        <v>8.1887824897400829</v>
      </c>
      <c r="J118" s="9">
        <v>1</v>
      </c>
      <c r="K118" s="4">
        <f t="shared" ca="1" si="5"/>
        <v>0.3075978339968064</v>
      </c>
      <c r="N118"/>
    </row>
    <row r="119" spans="1:14" x14ac:dyDescent="0.4">
      <c r="A119" t="s">
        <v>276</v>
      </c>
      <c r="B119">
        <v>699.6</v>
      </c>
      <c r="C119">
        <v>0.01</v>
      </c>
      <c r="D119">
        <v>5.0999999999999996</v>
      </c>
      <c r="E119">
        <v>50000</v>
      </c>
      <c r="F119" cm="1">
        <f t="array" aca="1" ref="F119" ca="1">IFERROR(MATCH(TRUE, INDEX(ISNUMBER(FIND("control", INDIRECT("A" &amp; ROW() + 1 &amp; ":A1000"))), 0), 0) + ROW(), ROW())</f>
        <v>123</v>
      </c>
      <c r="G119">
        <v>16</v>
      </c>
      <c r="H119" s="3" cm="1">
        <f t="array" aca="1" ref="H119" ca="1">(B119-INDEX(B:B,F119))/INDEX(B:B,F119)/G119</f>
        <v>0.13428217821782179</v>
      </c>
      <c r="I119" s="3">
        <f t="shared" ca="1" si="10"/>
        <v>8.1887824897400829</v>
      </c>
      <c r="J119" s="9">
        <v>1</v>
      </c>
      <c r="K119" s="4">
        <f t="shared" ca="1" si="5"/>
        <v>0.1</v>
      </c>
      <c r="N119"/>
    </row>
    <row r="120" spans="1:14" x14ac:dyDescent="0.4">
      <c r="A120" t="s">
        <v>277</v>
      </c>
      <c r="B120">
        <v>682</v>
      </c>
      <c r="C120">
        <v>0.01</v>
      </c>
      <c r="D120">
        <v>5</v>
      </c>
      <c r="E120">
        <v>50000</v>
      </c>
      <c r="F120" cm="1">
        <f t="array" aca="1" ref="F120" ca="1">IFERROR(MATCH(TRUE, INDEX(ISNUMBER(FIND("control", INDIRECT("A" &amp; ROW() + 1 &amp; ":A1000"))), 0), 0) + ROW(), ROW())</f>
        <v>123</v>
      </c>
      <c r="G120">
        <v>16</v>
      </c>
      <c r="H120" s="3" cm="1">
        <f t="array" aca="1" ref="H120" ca="1">(B120-INDEX(B:B,F120))/INDEX(B:B,F120)/G120</f>
        <v>0.12933168316831684</v>
      </c>
      <c r="I120" s="3">
        <f t="shared" ca="1" si="10"/>
        <v>8.1887824897400829</v>
      </c>
      <c r="J120" s="9">
        <v>1</v>
      </c>
      <c r="K120" s="4">
        <f t="shared" ca="1" si="5"/>
        <v>0.1</v>
      </c>
      <c r="N120"/>
    </row>
    <row r="121" spans="1:14" x14ac:dyDescent="0.4">
      <c r="A121" t="s">
        <v>286</v>
      </c>
      <c r="B121">
        <v>672</v>
      </c>
      <c r="C121">
        <v>0.01</v>
      </c>
      <c r="D121">
        <v>4.9000000000000004</v>
      </c>
      <c r="E121">
        <v>50000</v>
      </c>
      <c r="F121" cm="1">
        <f t="array" aca="1" ref="F121" ca="1">IFERROR(MATCH(TRUE, INDEX(ISNUMBER(FIND("control", INDIRECT("A" &amp; ROW() + 1 &amp; ":A1000"))), 0), 0) + ROW(), ROW())</f>
        <v>123</v>
      </c>
      <c r="G121">
        <v>16</v>
      </c>
      <c r="H121" s="3" cm="1">
        <f t="array" aca="1" ref="H121" ca="1">(B121-INDEX(B:B,F121))/INDEX(B:B,F121)/G121</f>
        <v>0.12651890189018902</v>
      </c>
      <c r="I121" s="3">
        <f t="shared" ca="1" si="10"/>
        <v>8.1887824897400829</v>
      </c>
      <c r="J121" s="9">
        <v>1</v>
      </c>
      <c r="K121" s="4">
        <f t="shared" ca="1" si="5"/>
        <v>0.1</v>
      </c>
      <c r="N121"/>
    </row>
    <row r="122" spans="1:14" x14ac:dyDescent="0.4">
      <c r="A122" t="s">
        <v>466</v>
      </c>
      <c r="B122">
        <v>694.6</v>
      </c>
      <c r="C122">
        <v>0.01</v>
      </c>
      <c r="D122">
        <v>5.0999999999999996</v>
      </c>
      <c r="E122">
        <v>50000</v>
      </c>
      <c r="F122" cm="1">
        <f t="array" aca="1" ref="F122" ca="1">IFERROR(MATCH(TRUE, INDEX(ISNUMBER(FIND("control", INDIRECT("A" &amp; ROW() + 1 &amp; ":A1000"))), 0), 0) + ROW(), ROW())</f>
        <v>123</v>
      </c>
      <c r="G122">
        <v>16</v>
      </c>
      <c r="H122" s="3" cm="1">
        <f t="array" aca="1" ref="H122" ca="1">(B122-INDEX(B:B,F122))/INDEX(B:B,F122)/G122</f>
        <v>0.1328757875787579</v>
      </c>
      <c r="I122" s="3">
        <f t="shared" ca="1" si="10"/>
        <v>8.1887824897400829</v>
      </c>
      <c r="J122" s="9">
        <v>1</v>
      </c>
      <c r="K122" s="4">
        <f t="shared" ca="1" si="5"/>
        <v>0.1</v>
      </c>
      <c r="N122"/>
    </row>
    <row r="123" spans="1:14" x14ac:dyDescent="0.4">
      <c r="A123" t="s">
        <v>122</v>
      </c>
      <c r="B123">
        <v>222.2</v>
      </c>
      <c r="C123">
        <v>0</v>
      </c>
      <c r="D123">
        <v>1.6</v>
      </c>
      <c r="E123">
        <v>50000</v>
      </c>
      <c r="F123" cm="1">
        <f t="array" aca="1" ref="F123" ca="1">IFERROR(MATCH(TRUE, INDEX(ISNUMBER(FIND("control", INDIRECT("A" &amp; ROW() + 1 &amp; ":A1000"))), 0), 0) + ROW(), ROW())</f>
        <v>133</v>
      </c>
      <c r="G123">
        <v>16</v>
      </c>
      <c r="H123" s="3" cm="1">
        <f t="array" aca="1" ref="H123" ca="1">(B123-INDEX(B:B,F123))/INDEX(B:B,F123)/G123</f>
        <v>2.0608916816277675E-2</v>
      </c>
      <c r="I123" s="3">
        <f t="shared" ca="1" si="10"/>
        <v>8.1887824897400829</v>
      </c>
      <c r="J123" s="9">
        <v>1</v>
      </c>
      <c r="K123" s="4">
        <f t="shared" ca="1" si="5"/>
        <v>0.1</v>
      </c>
      <c r="N123"/>
    </row>
    <row r="124" spans="1:14" x14ac:dyDescent="0.4">
      <c r="A124" t="s">
        <v>90</v>
      </c>
      <c r="B124">
        <v>408.9</v>
      </c>
      <c r="C124">
        <v>0.01</v>
      </c>
      <c r="D124">
        <v>45.4</v>
      </c>
      <c r="E124">
        <v>50000</v>
      </c>
      <c r="F124" cm="1">
        <f t="array" aca="1" ref="F124" ca="1">IFERROR(MATCH(TRUE, INDEX(ISNUMBER(FIND("control", INDIRECT("A" &amp; ROW() + 1 &amp; ":A1000"))), 0), 0) + ROW(), ROW())</f>
        <v>133</v>
      </c>
      <c r="G124">
        <v>1</v>
      </c>
      <c r="H124" s="3" cm="1">
        <f t="array" aca="1" ref="H124" ca="1">(B124-INDEX(B:B,F124))/INDEX(B:B,F124)/G124</f>
        <v>1.4470377019748653</v>
      </c>
      <c r="I124" s="3">
        <f t="shared" ca="1" si="8"/>
        <v>4.5857181942544472</v>
      </c>
      <c r="J124" s="9">
        <v>0</v>
      </c>
      <c r="K124" s="4">
        <f t="shared" ca="1" si="5"/>
        <v>6.635707117718284</v>
      </c>
      <c r="N124"/>
    </row>
    <row r="125" spans="1:14" x14ac:dyDescent="0.4">
      <c r="A125" t="s">
        <v>91</v>
      </c>
      <c r="B125">
        <v>2130.1</v>
      </c>
      <c r="C125">
        <v>0.04</v>
      </c>
      <c r="D125">
        <v>236.7</v>
      </c>
      <c r="E125">
        <v>50000</v>
      </c>
      <c r="F125" cm="1">
        <f t="array" aca="1" ref="F125" ca="1">IFERROR(MATCH(TRUE, INDEX(ISNUMBER(FIND("control", INDIRECT("A" &amp; ROW() + 1 &amp; ":A1000"))), 0), 0) + ROW(), ROW())</f>
        <v>133</v>
      </c>
      <c r="G125">
        <v>1</v>
      </c>
      <c r="H125" s="3" cm="1">
        <f t="array" aca="1" ref="H125" ca="1">(B125-INDEX(B:B,F125))/INDEX(B:B,F125)/G125</f>
        <v>11.747456612806703</v>
      </c>
      <c r="I125" s="3">
        <f t="shared" ca="1" si="8"/>
        <v>4.5857181942544472</v>
      </c>
      <c r="J125" s="9">
        <v>0</v>
      </c>
      <c r="K125" s="4">
        <f t="shared" ca="1" si="5"/>
        <v>53.870525525562421</v>
      </c>
      <c r="N125"/>
    </row>
    <row r="126" spans="1:14" x14ac:dyDescent="0.4">
      <c r="A126" t="s">
        <v>92</v>
      </c>
      <c r="B126">
        <v>1850.7</v>
      </c>
      <c r="C126">
        <v>0.04</v>
      </c>
      <c r="D126">
        <v>205.6</v>
      </c>
      <c r="E126">
        <v>50000</v>
      </c>
      <c r="F126" cm="1">
        <f t="array" aca="1" ref="F126" ca="1">IFERROR(MATCH(TRUE, INDEX(ISNUMBER(FIND("control", INDIRECT("A" &amp; ROW() + 1 &amp; ":A1000"))), 0), 0) + ROW(), ROW())</f>
        <v>133</v>
      </c>
      <c r="G126">
        <v>1</v>
      </c>
      <c r="H126" s="3" cm="1">
        <f t="array" aca="1" ref="H126" ca="1">(B126-INDEX(B:B,F126))/INDEX(B:B,F126)/G126</f>
        <v>10.075403949730701</v>
      </c>
      <c r="I126" s="3">
        <f t="shared" ca="1" si="8"/>
        <v>4.5857181942544472</v>
      </c>
      <c r="J126" s="9">
        <v>0</v>
      </c>
      <c r="K126" s="4">
        <f t="shared" ca="1" si="5"/>
        <v>46.202963206743192</v>
      </c>
    </row>
    <row r="127" spans="1:14" x14ac:dyDescent="0.4">
      <c r="A127" t="s">
        <v>93</v>
      </c>
      <c r="B127">
        <v>825.8</v>
      </c>
      <c r="C127">
        <v>0.02</v>
      </c>
      <c r="D127">
        <v>91.8</v>
      </c>
      <c r="E127">
        <v>50000</v>
      </c>
      <c r="F127" cm="1">
        <f t="array" aca="1" ref="F127" ca="1">IFERROR(MATCH(TRUE, INDEX(ISNUMBER(FIND("control", INDIRECT("A" &amp; ROW() + 1 &amp; ":A1000"))), 0), 0) + ROW(), ROW())</f>
        <v>133</v>
      </c>
      <c r="G127">
        <v>1</v>
      </c>
      <c r="H127" s="3" cm="1">
        <f t="array" aca="1" ref="H127" ca="1">(B127-INDEX(B:B,F127))/INDEX(B:B,F127)/G127</f>
        <v>3.94195092758827</v>
      </c>
      <c r="I127" s="3">
        <f t="shared" ca="1" si="8"/>
        <v>4.5857181942544472</v>
      </c>
      <c r="J127" s="9">
        <v>0</v>
      </c>
      <c r="K127" s="4">
        <f t="shared" ca="1" si="5"/>
        <v>18.076676089499724</v>
      </c>
    </row>
    <row r="128" spans="1:14" x14ac:dyDescent="0.4">
      <c r="A128" t="s">
        <v>113</v>
      </c>
      <c r="B128">
        <v>294.89999999999998</v>
      </c>
      <c r="C128">
        <v>0.01</v>
      </c>
      <c r="D128">
        <v>32.799999999999997</v>
      </c>
      <c r="E128">
        <v>50000</v>
      </c>
      <c r="F128" cm="1">
        <f t="array" aca="1" ref="F128" ca="1">IFERROR(MATCH(TRUE, INDEX(ISNUMBER(FIND("control", INDIRECT("A" &amp; ROW() + 1 &amp; ":A1000"))), 0), 0) + ROW(), ROW())</f>
        <v>133</v>
      </c>
      <c r="G128">
        <v>1</v>
      </c>
      <c r="H128" s="3" cm="1">
        <f t="array" aca="1" ref="H128" ca="1">(B128-INDEX(B:B,F128))/INDEX(B:B,F128)/G128</f>
        <v>0.76481149012567318</v>
      </c>
      <c r="I128" s="3">
        <f t="shared" ca="1" si="8"/>
        <v>4.5857181942544472</v>
      </c>
      <c r="J128" s="9">
        <v>0</v>
      </c>
      <c r="K128" s="4">
        <f t="shared" ca="1" si="5"/>
        <v>3.5072099654441549</v>
      </c>
    </row>
    <row r="129" spans="1:11" x14ac:dyDescent="0.4">
      <c r="A129" t="s">
        <v>94</v>
      </c>
      <c r="B129">
        <v>638</v>
      </c>
      <c r="C129">
        <v>0.01</v>
      </c>
      <c r="D129">
        <v>70.900000000000006</v>
      </c>
      <c r="E129">
        <v>50000</v>
      </c>
      <c r="F129" cm="1">
        <f t="array" aca="1" ref="F129" ca="1">IFERROR(MATCH(TRUE, INDEX(ISNUMBER(FIND("control", INDIRECT("A" &amp; ROW() + 1 &amp; ":A1000"))), 0), 0) + ROW(), ROW())</f>
        <v>133</v>
      </c>
      <c r="G129">
        <v>1</v>
      </c>
      <c r="H129" s="3" cm="1">
        <f t="array" aca="1" ref="H129" ca="1">(B129-INDEX(B:B,F129))/INDEX(B:B,F129)/G129</f>
        <v>2.8180730101735487</v>
      </c>
      <c r="I129" s="3">
        <f t="shared" ref="I129:I173" ca="1" si="11">$N$4</f>
        <v>4.5857181942544472</v>
      </c>
      <c r="J129" s="9">
        <v>0</v>
      </c>
      <c r="K129" s="4">
        <f t="shared" ca="1" si="5"/>
        <v>12.92288867549024</v>
      </c>
    </row>
    <row r="130" spans="1:11" x14ac:dyDescent="0.4">
      <c r="A130" t="s">
        <v>95</v>
      </c>
      <c r="B130">
        <v>331.8</v>
      </c>
      <c r="C130">
        <v>0.01</v>
      </c>
      <c r="D130">
        <v>36.9</v>
      </c>
      <c r="E130">
        <v>50000</v>
      </c>
      <c r="F130" cm="1">
        <f t="array" aca="1" ref="F130" ca="1">IFERROR(MATCH(TRUE, INDEX(ISNUMBER(FIND("control", INDIRECT("A" &amp; ROW() + 1 &amp; ":A1000"))), 0), 0) + ROW(), ROW())</f>
        <v>133</v>
      </c>
      <c r="G130">
        <v>1</v>
      </c>
      <c r="H130" s="3" cm="1">
        <f t="array" aca="1" ref="H130" ca="1">(B130-INDEX(B:B,F130))/INDEX(B:B,F130)/G130</f>
        <v>0.98563734290843819</v>
      </c>
      <c r="I130" s="3">
        <f t="shared" ca="1" si="11"/>
        <v>4.5857181942544472</v>
      </c>
      <c r="J130" s="9">
        <v>0</v>
      </c>
      <c r="K130" s="4">
        <f t="shared" ref="K130:K140" ca="1" si="12">MAX(H130*I130-IF(J130=1,$N$5,0),0.1)</f>
        <v>4.5198550963118347</v>
      </c>
    </row>
    <row r="131" spans="1:11" x14ac:dyDescent="0.4">
      <c r="A131" t="s">
        <v>96</v>
      </c>
      <c r="B131">
        <v>294.7</v>
      </c>
      <c r="C131">
        <v>0.01</v>
      </c>
      <c r="D131">
        <v>32.700000000000003</v>
      </c>
      <c r="E131">
        <v>50000</v>
      </c>
      <c r="F131" cm="1">
        <f t="array" aca="1" ref="F131" ca="1">IFERROR(MATCH(TRUE, INDEX(ISNUMBER(FIND("control", INDIRECT("A" &amp; ROW() + 1 &amp; ":A1000"))), 0), 0) + ROW(), ROW())</f>
        <v>133</v>
      </c>
      <c r="G131">
        <v>1</v>
      </c>
      <c r="H131" s="3" cm="1">
        <f t="array" aca="1" ref="H131" ca="1">(B131-INDEX(B:B,F131))/INDEX(B:B,F131)/G131</f>
        <v>0.76361460203470977</v>
      </c>
      <c r="I131" s="3">
        <f t="shared" ca="1" si="11"/>
        <v>4.5857181942544472</v>
      </c>
      <c r="J131" s="9">
        <v>0</v>
      </c>
      <c r="K131" s="4">
        <f t="shared" ca="1" si="12"/>
        <v>3.5017213739489375</v>
      </c>
    </row>
    <row r="132" spans="1:11" x14ac:dyDescent="0.4">
      <c r="A132" t="s">
        <v>97</v>
      </c>
      <c r="B132">
        <v>289.7</v>
      </c>
      <c r="C132">
        <v>0.01</v>
      </c>
      <c r="D132">
        <v>32.200000000000003</v>
      </c>
      <c r="E132">
        <v>50000</v>
      </c>
      <c r="F132" cm="1">
        <f t="array" aca="1" ref="F132" ca="1">IFERROR(MATCH(TRUE, INDEX(ISNUMBER(FIND("control", INDIRECT("A" &amp; ROW() + 1 &amp; ":A1000"))), 0), 0) + ROW(), ROW())</f>
        <v>133</v>
      </c>
      <c r="G132">
        <v>1</v>
      </c>
      <c r="H132" s="3" cm="1">
        <f t="array" aca="1" ref="H132" ca="1">(B132-INDEX(B:B,F132))/INDEX(B:B,F132)/G132</f>
        <v>0.73369239976062239</v>
      </c>
      <c r="I132" s="3">
        <f t="shared" ca="1" si="11"/>
        <v>4.5857181942544472</v>
      </c>
      <c r="J132" s="9">
        <v>0</v>
      </c>
      <c r="K132" s="4">
        <f t="shared" ca="1" si="12"/>
        <v>3.3645065865684933</v>
      </c>
    </row>
    <row r="133" spans="1:11" x14ac:dyDescent="0.4">
      <c r="A133" t="s">
        <v>123</v>
      </c>
      <c r="B133">
        <v>167.1</v>
      </c>
      <c r="C133">
        <v>0</v>
      </c>
      <c r="D133">
        <v>18.600000000000001</v>
      </c>
      <c r="E133">
        <v>50000</v>
      </c>
      <c r="F133" cm="1">
        <f t="array" aca="1" ref="F133" ca="1">IFERROR(MATCH(TRUE, INDEX(ISNUMBER(FIND("control", INDIRECT("A" &amp; ROW() + 1 &amp; ":A1000"))), 0), 0) + ROW(), ROW())</f>
        <v>140</v>
      </c>
      <c r="G133">
        <v>1</v>
      </c>
      <c r="H133" s="3" cm="1">
        <f t="array" aca="1" ref="H133" ca="1">(B133-INDEX(B:B,F133))/INDEX(B:B,F133)/G133</f>
        <v>-6.5398335315100739E-3</v>
      </c>
      <c r="I133" s="3">
        <f t="shared" ca="1" si="11"/>
        <v>4.5857181942544472</v>
      </c>
      <c r="J133" s="9">
        <v>0</v>
      </c>
      <c r="K133" s="4">
        <f t="shared" ca="1" si="12"/>
        <v>0.1</v>
      </c>
    </row>
    <row r="134" spans="1:11" x14ac:dyDescent="0.4">
      <c r="A134" t="s">
        <v>98</v>
      </c>
      <c r="B134">
        <v>3077.2</v>
      </c>
      <c r="C134">
        <v>0.06</v>
      </c>
      <c r="D134">
        <v>341.9</v>
      </c>
      <c r="E134">
        <v>50000</v>
      </c>
      <c r="F134" cm="1">
        <f t="array" aca="1" ref="F134" ca="1">IFERROR(MATCH(TRUE, INDEX(ISNUMBER(FIND("control", INDIRECT("A" &amp; ROW() + 1 &amp; ":A1000"))), 0), 0) + ROW(), ROW())</f>
        <v>140</v>
      </c>
      <c r="G134">
        <v>1</v>
      </c>
      <c r="H134" s="3" cm="1">
        <f t="array" aca="1" ref="H134" ca="1">(B134-INDEX(B:B,F134))/INDEX(B:B,F134)/G134</f>
        <v>17.294887039239001</v>
      </c>
      <c r="I134" s="3">
        <f t="shared" ca="1" si="11"/>
        <v>4.5857181942544472</v>
      </c>
      <c r="J134" s="9">
        <v>0</v>
      </c>
      <c r="K134" s="4">
        <f t="shared" ca="1" si="12"/>
        <v>79.309478163413715</v>
      </c>
    </row>
    <row r="135" spans="1:11" x14ac:dyDescent="0.4">
      <c r="A135" t="s">
        <v>124</v>
      </c>
      <c r="B135">
        <v>1182.9000000000001</v>
      </c>
      <c r="C135">
        <v>0.02</v>
      </c>
      <c r="D135">
        <v>131.4</v>
      </c>
      <c r="E135">
        <v>50000</v>
      </c>
      <c r="F135" cm="1">
        <f t="array" aca="1" ref="F135" ca="1">IFERROR(MATCH(TRUE, INDEX(ISNUMBER(FIND("control", INDIRECT("A" &amp; ROW() + 1 &amp; ":A1000"))), 0), 0) + ROW(), ROW())</f>
        <v>140</v>
      </c>
      <c r="G135">
        <v>1</v>
      </c>
      <c r="H135" s="3" cm="1">
        <f t="array" aca="1" ref="H135" ca="1">(B135-INDEX(B:B,F135))/INDEX(B:B,F135)/G135</f>
        <v>6.032699167657551</v>
      </c>
      <c r="I135" s="3">
        <f t="shared" ca="1" si="11"/>
        <v>4.5857181942544472</v>
      </c>
      <c r="J135" s="9">
        <v>0</v>
      </c>
      <c r="K135" s="4">
        <f t="shared" ca="1" si="12"/>
        <v>27.66425833359089</v>
      </c>
    </row>
    <row r="136" spans="1:11" x14ac:dyDescent="0.4">
      <c r="A136" t="s">
        <v>322</v>
      </c>
      <c r="B136">
        <v>241.6</v>
      </c>
      <c r="C136">
        <v>0</v>
      </c>
      <c r="D136">
        <v>26.8</v>
      </c>
      <c r="E136">
        <v>50000</v>
      </c>
      <c r="F136" cm="1">
        <f t="array" aca="1" ref="F136" ca="1">IFERROR(MATCH(TRUE, INDEX(ISNUMBER(FIND("control", INDIRECT("A" &amp; ROW() + 1 &amp; ":A1000"))), 0), 0) + ROW(), ROW())</f>
        <v>140</v>
      </c>
      <c r="G136">
        <v>1</v>
      </c>
      <c r="H136" s="3" cm="1">
        <f t="array" aca="1" ref="H136" ca="1">(B136-INDEX(B:B,F136))/INDEX(B:B,F136)/G136</f>
        <v>0.4363852556480381</v>
      </c>
      <c r="I136" s="3">
        <f t="shared" ca="1" si="11"/>
        <v>4.5857181942544472</v>
      </c>
      <c r="J136" s="9">
        <v>0</v>
      </c>
      <c r="K136" s="4">
        <f t="shared" ca="1" si="12"/>
        <v>2.0011398065295865</v>
      </c>
    </row>
    <row r="137" spans="1:11" x14ac:dyDescent="0.4">
      <c r="A137" t="s">
        <v>99</v>
      </c>
      <c r="B137">
        <v>522.29999999999995</v>
      </c>
      <c r="C137">
        <v>0.01</v>
      </c>
      <c r="D137">
        <v>58</v>
      </c>
      <c r="E137">
        <v>50000</v>
      </c>
      <c r="F137" cm="1">
        <f t="array" aca="1" ref="F137" ca="1">IFERROR(MATCH(TRUE, INDEX(ISNUMBER(FIND("control", INDIRECT("A" &amp; ROW() + 1 &amp; ":A1000"))), 0), 0) + ROW(), ROW())</f>
        <v>140</v>
      </c>
      <c r="G137">
        <v>1</v>
      </c>
      <c r="H137" s="3" cm="1">
        <f t="array" aca="1" ref="H137" ca="1">(B137-INDEX(B:B,F137))/INDEX(B:B,F137)/G137</f>
        <v>2.1052318668252079</v>
      </c>
      <c r="I137" s="3">
        <f t="shared" ca="1" si="11"/>
        <v>4.5857181942544472</v>
      </c>
      <c r="J137" s="9">
        <v>0</v>
      </c>
      <c r="K137" s="4">
        <f t="shared" ca="1" si="12"/>
        <v>9.6540000748246104</v>
      </c>
    </row>
    <row r="138" spans="1:11" x14ac:dyDescent="0.4">
      <c r="A138" t="s">
        <v>101</v>
      </c>
      <c r="B138">
        <v>750.7</v>
      </c>
      <c r="C138">
        <v>0.02</v>
      </c>
      <c r="D138">
        <v>83.4</v>
      </c>
      <c r="E138">
        <v>50000</v>
      </c>
      <c r="F138" cm="1">
        <f t="array" aca="1" ref="F138" ca="1">IFERROR(MATCH(TRUE, INDEX(ISNUMBER(FIND("control", INDIRECT("A" &amp; ROW() + 1 &amp; ":A1000"))), 0), 0) + ROW(), ROW())</f>
        <v>140</v>
      </c>
      <c r="G138">
        <v>1</v>
      </c>
      <c r="H138" s="3" cm="1">
        <f t="array" aca="1" ref="H138" ca="1">(B138-INDEX(B:B,F138))/INDEX(B:B,F138)/G138</f>
        <v>3.4631391200951249</v>
      </c>
      <c r="I138" s="3">
        <f t="shared" ca="1" si="11"/>
        <v>4.5857181942544472</v>
      </c>
      <c r="J138" s="9">
        <v>0</v>
      </c>
      <c r="K138" s="4">
        <f t="shared" ca="1" si="12"/>
        <v>15.880980072254552</v>
      </c>
    </row>
    <row r="139" spans="1:11" x14ac:dyDescent="0.4">
      <c r="A139" t="s">
        <v>102</v>
      </c>
      <c r="B139">
        <v>849.3</v>
      </c>
      <c r="C139">
        <v>0.02</v>
      </c>
      <c r="D139">
        <v>94.4</v>
      </c>
      <c r="E139">
        <v>50000</v>
      </c>
      <c r="F139" cm="1">
        <f t="array" aca="1" ref="F139" ca="1">IFERROR(MATCH(TRUE, INDEX(ISNUMBER(FIND("control", INDIRECT("A" &amp; ROW() + 1 &amp; ":A1000"))), 0), 0) + ROW(), ROW())</f>
        <v>140</v>
      </c>
      <c r="G139">
        <v>1</v>
      </c>
      <c r="H139" s="3" cm="1">
        <f t="array" aca="1" ref="H139" ca="1">(B139-INDEX(B:B,F139))/INDEX(B:B,F139)/G139</f>
        <v>4.0493460166468491</v>
      </c>
      <c r="I139" s="3">
        <f t="shared" ca="1" si="11"/>
        <v>4.5857181942544472</v>
      </c>
      <c r="J139" s="9">
        <v>0</v>
      </c>
      <c r="K139" s="4">
        <f t="shared" ca="1" si="12"/>
        <v>18.569159703369227</v>
      </c>
    </row>
    <row r="140" spans="1:11" x14ac:dyDescent="0.4">
      <c r="A140" t="s">
        <v>125</v>
      </c>
      <c r="B140">
        <v>168.2</v>
      </c>
      <c r="C140">
        <v>0</v>
      </c>
      <c r="D140">
        <v>18.7</v>
      </c>
      <c r="E140">
        <v>50000</v>
      </c>
      <c r="F140" cm="1">
        <f t="array" aca="1" ref="F140" ca="1">IFERROR(MATCH(TRUE, INDEX(ISNUMBER(FIND("control", INDIRECT("A" &amp; ROW() + 1 &amp; ":A1000"))), 0), 0) + ROW(), ROW())</f>
        <v>159</v>
      </c>
      <c r="G140">
        <v>1</v>
      </c>
      <c r="H140" s="3" cm="1">
        <f t="array" aca="1" ref="H140" ca="1">(B140-INDEX(B:B,F140))/INDEX(B:B,F140)/G140</f>
        <v>2.0361010830324906</v>
      </c>
      <c r="I140" s="3">
        <f t="shared" ca="1" si="11"/>
        <v>4.5857181942544472</v>
      </c>
      <c r="J140" s="9">
        <v>0</v>
      </c>
      <c r="K140" s="4">
        <f t="shared" ca="1" si="12"/>
        <v>9.3369857818032767</v>
      </c>
    </row>
    <row r="141" spans="1:11" x14ac:dyDescent="0.4">
      <c r="A141" t="s">
        <v>468</v>
      </c>
      <c r="B141">
        <v>67.3</v>
      </c>
      <c r="C141">
        <v>0.01</v>
      </c>
      <c r="D141">
        <v>2.1</v>
      </c>
      <c r="E141">
        <v>10000</v>
      </c>
      <c r="F141" cm="1">
        <f t="array" aca="1" ref="F141" ca="1">IFERROR(MATCH(TRUE, INDEX(ISNUMBER(FIND("control", INDIRECT("A" &amp; ROW() + 1 &amp; ":A1000"))), 0), 0) + ROW(), ROW())</f>
        <v>159</v>
      </c>
      <c r="G141">
        <v>1</v>
      </c>
      <c r="H141" s="3" cm="1">
        <f t="array" aca="1" ref="H141" ca="1">(B141-INDEX(B:B,F141))/INDEX(B:B,F141)/G141</f>
        <v>0.21480144404332127</v>
      </c>
      <c r="I141" s="3">
        <f ca="1">$N$3</f>
        <v>8.1887824897400829</v>
      </c>
      <c r="J141" s="9">
        <v>0</v>
      </c>
      <c r="K141" s="4">
        <f ca="1">MAX(H141*I141-IF(J141=1,$N$5,0),0.1)</f>
        <v>1.7589623037528335</v>
      </c>
    </row>
    <row r="142" spans="1:11" x14ac:dyDescent="0.4">
      <c r="A142" t="s">
        <v>479</v>
      </c>
      <c r="B142">
        <v>81.3</v>
      </c>
      <c r="C142">
        <v>0.01</v>
      </c>
      <c r="D142">
        <v>2.5</v>
      </c>
      <c r="E142">
        <v>10000</v>
      </c>
      <c r="F142" cm="1">
        <f t="array" aca="1" ref="F142" ca="1">IFERROR(MATCH(TRUE, INDEX(ISNUMBER(FIND("control", INDIRECT("A" &amp; ROW() + 1 &amp; ":A1000"))), 0), 0) + ROW(), ROW())</f>
        <v>159</v>
      </c>
      <c r="G142">
        <v>1</v>
      </c>
      <c r="H142" s="3" cm="1">
        <f t="array" aca="1" ref="H142" ca="1">(B142-INDEX(B:B,F142))/INDEX(B:B,F142)/G142</f>
        <v>0.46750902527075811</v>
      </c>
      <c r="I142" s="3">
        <f t="shared" ref="I142:I153" ca="1" si="13">$N$3</f>
        <v>8.1887824897400829</v>
      </c>
      <c r="J142" s="9">
        <v>0</v>
      </c>
      <c r="K142" s="4">
        <f t="shared" ref="K142:K173" ca="1" si="14">MAX(H142*I142-IF(J142=1,$N$5,0),0.1)</f>
        <v>3.828329719932638</v>
      </c>
    </row>
    <row r="143" spans="1:11" x14ac:dyDescent="0.4">
      <c r="A143" t="s">
        <v>480</v>
      </c>
      <c r="B143">
        <v>105.1</v>
      </c>
      <c r="C143">
        <v>0.01</v>
      </c>
      <c r="D143">
        <v>3.3</v>
      </c>
      <c r="E143">
        <v>10000</v>
      </c>
      <c r="F143" cm="1">
        <f t="array" aca="1" ref="F143" ca="1">IFERROR(MATCH(TRUE, INDEX(ISNUMBER(FIND("control", INDIRECT("A" &amp; ROW() + 1 &amp; ":A1000"))), 0), 0) + ROW(), ROW())</f>
        <v>159</v>
      </c>
      <c r="G143">
        <v>1</v>
      </c>
      <c r="H143" s="3" cm="1">
        <f t="array" aca="1" ref="H143" ca="1">(B143-INDEX(B:B,F143))/INDEX(B:B,F143)/G143</f>
        <v>0.8971119133574007</v>
      </c>
      <c r="I143" s="3">
        <f t="shared" ca="1" si="13"/>
        <v>8.1887824897400829</v>
      </c>
      <c r="J143" s="9">
        <v>0</v>
      </c>
      <c r="K143" s="4">
        <f t="shared" ca="1" si="14"/>
        <v>7.346254327438305</v>
      </c>
    </row>
    <row r="144" spans="1:11" x14ac:dyDescent="0.4">
      <c r="A144" t="s">
        <v>481</v>
      </c>
      <c r="B144">
        <v>98.6</v>
      </c>
      <c r="C144">
        <v>0.01</v>
      </c>
      <c r="D144">
        <v>3.1</v>
      </c>
      <c r="E144">
        <v>10000</v>
      </c>
      <c r="F144" cm="1">
        <f t="array" aca="1" ref="F144" ca="1">IFERROR(MATCH(TRUE, INDEX(ISNUMBER(FIND("control", INDIRECT("A" &amp; ROW() + 1 &amp; ":A1000"))), 0), 0) + ROW(), ROW())</f>
        <v>159</v>
      </c>
      <c r="G144">
        <v>1</v>
      </c>
      <c r="H144" s="3" cm="1">
        <f t="array" aca="1" ref="H144" ca="1">(B144-INDEX(B:B,F144))/INDEX(B:B,F144)/G144</f>
        <v>0.77978339350180503</v>
      </c>
      <c r="I144" s="3">
        <f t="shared" ca="1" si="13"/>
        <v>8.1887824897400829</v>
      </c>
      <c r="J144" s="9">
        <v>0</v>
      </c>
      <c r="K144" s="4">
        <f t="shared" ca="1" si="14"/>
        <v>6.3854765984976822</v>
      </c>
    </row>
    <row r="145" spans="1:11" x14ac:dyDescent="0.4">
      <c r="A145" t="s">
        <v>482</v>
      </c>
      <c r="B145">
        <v>112</v>
      </c>
      <c r="C145">
        <v>0.01</v>
      </c>
      <c r="D145">
        <v>3.5</v>
      </c>
      <c r="E145">
        <v>10000</v>
      </c>
      <c r="F145" cm="1">
        <f t="array" aca="1" ref="F145" ca="1">IFERROR(MATCH(TRUE, INDEX(ISNUMBER(FIND("control", INDIRECT("A" &amp; ROW() + 1 &amp; ":A1000"))), 0), 0) + ROW(), ROW())</f>
        <v>159</v>
      </c>
      <c r="G145">
        <v>1</v>
      </c>
      <c r="H145" s="3" cm="1">
        <f t="array" aca="1" ref="H145" ca="1">(B145-INDEX(B:B,F145))/INDEX(B:B,F145)/G145</f>
        <v>1.0216606498194947</v>
      </c>
      <c r="I145" s="3">
        <f t="shared" ca="1" si="13"/>
        <v>8.1887824897400829</v>
      </c>
      <c r="J145" s="9">
        <v>0</v>
      </c>
      <c r="K145" s="4">
        <f t="shared" ca="1" si="14"/>
        <v>8.3661568396983519</v>
      </c>
    </row>
    <row r="146" spans="1:11" x14ac:dyDescent="0.4">
      <c r="A146" t="s">
        <v>483</v>
      </c>
      <c r="B146">
        <v>122.9</v>
      </c>
      <c r="C146">
        <v>0.01</v>
      </c>
      <c r="D146">
        <v>3.8</v>
      </c>
      <c r="E146">
        <v>10000</v>
      </c>
      <c r="F146" cm="1">
        <f t="array" aca="1" ref="F146" ca="1">IFERROR(MATCH(TRUE, INDEX(ISNUMBER(FIND("control", INDIRECT("A" &amp; ROW() + 1 &amp; ":A1000"))), 0), 0) + ROW(), ROW())</f>
        <v>159</v>
      </c>
      <c r="G146">
        <v>1</v>
      </c>
      <c r="H146" s="3" cm="1">
        <f t="array" aca="1" ref="H146" ca="1">(B146-INDEX(B:B,F146))/INDEX(B:B,F146)/G146</f>
        <v>1.2184115523465704</v>
      </c>
      <c r="I146" s="3">
        <f t="shared" ca="1" si="13"/>
        <v>8.1887824897400829</v>
      </c>
      <c r="J146" s="9">
        <v>0</v>
      </c>
      <c r="K146" s="4">
        <f t="shared" ca="1" si="14"/>
        <v>9.9773071851526289</v>
      </c>
    </row>
    <row r="147" spans="1:11" x14ac:dyDescent="0.4">
      <c r="A147" t="s">
        <v>469</v>
      </c>
      <c r="B147">
        <v>76.8</v>
      </c>
      <c r="C147">
        <v>0.01</v>
      </c>
      <c r="D147">
        <v>2.4</v>
      </c>
      <c r="E147">
        <v>10000</v>
      </c>
      <c r="F147" cm="1">
        <f t="array" aca="1" ref="F147" ca="1">IFERROR(MATCH(TRUE, INDEX(ISNUMBER(FIND("control", INDIRECT("A" &amp; ROW() + 1 &amp; ":A1000"))), 0), 0) + ROW(), ROW())</f>
        <v>159</v>
      </c>
      <c r="G147">
        <v>1</v>
      </c>
      <c r="H147" s="3" cm="1">
        <f t="array" aca="1" ref="H147" ca="1">(B147-INDEX(B:B,F147))/INDEX(B:B,F147)/G147</f>
        <v>0.38628158844765342</v>
      </c>
      <c r="I147" s="3">
        <f t="shared" ca="1" si="13"/>
        <v>8.1887824897400829</v>
      </c>
      <c r="J147" s="9">
        <v>0</v>
      </c>
      <c r="K147" s="4">
        <f t="shared" ca="1" si="14"/>
        <v>3.1631759075891295</v>
      </c>
    </row>
    <row r="148" spans="1:11" x14ac:dyDescent="0.4">
      <c r="A148" t="s">
        <v>484</v>
      </c>
      <c r="B148">
        <v>1464.5</v>
      </c>
      <c r="C148">
        <v>0.15</v>
      </c>
      <c r="D148">
        <v>45.3</v>
      </c>
      <c r="E148">
        <v>10000</v>
      </c>
      <c r="F148" cm="1">
        <f t="array" aca="1" ref="F148" ca="1">IFERROR(MATCH(TRUE, INDEX(ISNUMBER(FIND("control", INDIRECT("A" &amp; ROW() + 1 &amp; ":A1000"))), 0), 0) + ROW(), ROW())</f>
        <v>159</v>
      </c>
      <c r="G148">
        <v>1</v>
      </c>
      <c r="H148" s="3" cm="1">
        <f t="array" aca="1" ref="H148" ca="1">(B148-INDEX(B:B,F148))/INDEX(B:B,F148)/G148</f>
        <v>25.435018050541515</v>
      </c>
      <c r="I148" s="3">
        <f t="shared" ca="1" si="13"/>
        <v>8.1887824897400829</v>
      </c>
      <c r="J148" s="9">
        <v>0</v>
      </c>
      <c r="K148" s="4">
        <f t="shared" ca="1" si="14"/>
        <v>208.28183043849731</v>
      </c>
    </row>
    <row r="149" spans="1:11" x14ac:dyDescent="0.4">
      <c r="A149" t="s">
        <v>485</v>
      </c>
      <c r="B149">
        <v>2857.4</v>
      </c>
      <c r="C149">
        <v>0.28999999999999998</v>
      </c>
      <c r="D149">
        <v>88.5</v>
      </c>
      <c r="E149">
        <v>10000</v>
      </c>
      <c r="F149" cm="1">
        <f t="array" aca="1" ref="F149" ca="1">IFERROR(MATCH(TRUE, INDEX(ISNUMBER(FIND("control", INDIRECT("A" &amp; ROW() + 1 &amp; ":A1000"))), 0), 0) + ROW(), ROW())</f>
        <v>159</v>
      </c>
      <c r="G149">
        <v>1</v>
      </c>
      <c r="H149" s="3" cm="1">
        <f t="array" aca="1" ref="H149" ca="1">(B149-INDEX(B:B,F149))/INDEX(B:B,F149)/G149</f>
        <v>50.577617328519857</v>
      </c>
      <c r="I149" s="3">
        <f t="shared" ca="1" si="13"/>
        <v>8.1887824897400829</v>
      </c>
      <c r="J149" s="9">
        <v>0</v>
      </c>
      <c r="K149" s="4">
        <f t="shared" ca="1" si="14"/>
        <v>414.16910715255801</v>
      </c>
    </row>
    <row r="150" spans="1:11" x14ac:dyDescent="0.4">
      <c r="A150" t="s">
        <v>486</v>
      </c>
      <c r="B150">
        <v>4155.3</v>
      </c>
      <c r="C150">
        <v>0.42</v>
      </c>
      <c r="D150">
        <v>128.6</v>
      </c>
      <c r="E150">
        <v>10000</v>
      </c>
      <c r="F150" cm="1">
        <f t="array" aca="1" ref="F150" ca="1">IFERROR(MATCH(TRUE, INDEX(ISNUMBER(FIND("control", INDIRECT("A" &amp; ROW() + 1 &amp; ":A1000"))), 0), 0) + ROW(), ROW())</f>
        <v>159</v>
      </c>
      <c r="G150">
        <v>1</v>
      </c>
      <c r="H150" s="3" cm="1">
        <f t="array" aca="1" ref="H150" ca="1">(B150-INDEX(B:B,F150))/INDEX(B:B,F150)/G150</f>
        <v>74.005415162454881</v>
      </c>
      <c r="I150" s="3">
        <f t="shared" ca="1" si="13"/>
        <v>8.1887824897400829</v>
      </c>
      <c r="J150" s="9">
        <v>0</v>
      </c>
      <c r="K150" s="4">
        <f t="shared" ca="1" si="14"/>
        <v>606.01424782825575</v>
      </c>
    </row>
    <row r="151" spans="1:11" x14ac:dyDescent="0.4">
      <c r="A151" t="s">
        <v>487</v>
      </c>
      <c r="B151">
        <v>5474.4</v>
      </c>
      <c r="C151">
        <v>0.55000000000000004</v>
      </c>
      <c r="D151">
        <v>169.5</v>
      </c>
      <c r="E151">
        <v>10000</v>
      </c>
      <c r="F151" cm="1">
        <f t="array" aca="1" ref="F151" ca="1">IFERROR(MATCH(TRUE, INDEX(ISNUMBER(FIND("control", INDIRECT("A" &amp; ROW() + 1 &amp; ":A1000"))), 0), 0) + ROW(), ROW())</f>
        <v>159</v>
      </c>
      <c r="G151">
        <v>1</v>
      </c>
      <c r="H151" s="3" cm="1">
        <f t="array" aca="1" ref="H151" ca="1">(B151-INDEX(B:B,F151))/INDEX(B:B,F151)/G151</f>
        <v>97.815884476534293</v>
      </c>
      <c r="I151" s="3">
        <f t="shared" ca="1" si="13"/>
        <v>8.1887824897400829</v>
      </c>
      <c r="J151" s="9">
        <v>0</v>
      </c>
      <c r="K151" s="4">
        <f t="shared" ca="1" si="14"/>
        <v>800.99300201988285</v>
      </c>
    </row>
    <row r="152" spans="1:11" x14ac:dyDescent="0.4">
      <c r="A152" t="s">
        <v>470</v>
      </c>
      <c r="B152">
        <v>6894.1</v>
      </c>
      <c r="C152">
        <v>0.69</v>
      </c>
      <c r="D152">
        <v>213.4</v>
      </c>
      <c r="E152">
        <v>10000</v>
      </c>
      <c r="F152" cm="1">
        <f t="array" aca="1" ref="F152" ca="1">IFERROR(MATCH(TRUE, INDEX(ISNUMBER(FIND("control", INDIRECT("A" &amp; ROW() + 1 &amp; ":A1000"))), 0), 0) + ROW(), ROW())</f>
        <v>159</v>
      </c>
      <c r="G152">
        <v>1</v>
      </c>
      <c r="H152" s="3" cm="1">
        <f t="array" aca="1" ref="H152" ca="1">(B152-INDEX(B:B,F152))/INDEX(B:B,F152)/G152</f>
        <v>123.44223826714803</v>
      </c>
      <c r="I152" s="3">
        <f t="shared" ca="1" si="13"/>
        <v>8.1887824897400829</v>
      </c>
      <c r="J152" s="9">
        <v>0</v>
      </c>
      <c r="K152" s="4">
        <f t="shared" ca="1" si="14"/>
        <v>1010.841639216345</v>
      </c>
    </row>
    <row r="153" spans="1:11" x14ac:dyDescent="0.4">
      <c r="A153" t="s">
        <v>471</v>
      </c>
      <c r="B153">
        <v>78</v>
      </c>
      <c r="C153">
        <v>0.01</v>
      </c>
      <c r="D153">
        <v>2.4</v>
      </c>
      <c r="E153">
        <v>10000</v>
      </c>
      <c r="F153" cm="1">
        <f t="array" aca="1" ref="F153" ca="1">IFERROR(MATCH(TRUE, INDEX(ISNUMBER(FIND("control", INDIRECT("A" &amp; ROW() + 1 &amp; ":A1000"))), 0), 0) + ROW(), ROW())</f>
        <v>159</v>
      </c>
      <c r="G153">
        <v>1</v>
      </c>
      <c r="H153" s="3" cm="1">
        <f t="array" aca="1" ref="H153" ca="1">(B153-INDEX(B:B,F153))/INDEX(B:B,F153)/G153</f>
        <v>0.40794223826714804</v>
      </c>
      <c r="I153" s="3">
        <f t="shared" ca="1" si="13"/>
        <v>8.1887824897400829</v>
      </c>
      <c r="J153" s="9">
        <v>0</v>
      </c>
      <c r="K153" s="4">
        <f t="shared" ca="1" si="14"/>
        <v>3.3405502575473989</v>
      </c>
    </row>
    <row r="154" spans="1:11" x14ac:dyDescent="0.4">
      <c r="A154" t="s">
        <v>488</v>
      </c>
      <c r="B154">
        <v>1578.8</v>
      </c>
      <c r="C154">
        <v>0.16</v>
      </c>
      <c r="D154">
        <v>48.9</v>
      </c>
      <c r="E154">
        <v>10000</v>
      </c>
      <c r="F154" cm="1">
        <f t="array" aca="1" ref="F154" ca="1">IFERROR(MATCH(TRUE, INDEX(ISNUMBER(FIND("control", INDIRECT("A" &amp; ROW() + 1 &amp; ":A1000"))), 0), 0) + ROW(), ROW())</f>
        <v>159</v>
      </c>
      <c r="G154">
        <v>1</v>
      </c>
      <c r="H154" s="3" cm="1">
        <f t="array" aca="1" ref="H154" ca="1">(B154-INDEX(B:B,F154))/INDEX(B:B,F154)/G154</f>
        <v>27.498194945848375</v>
      </c>
      <c r="I154" s="3">
        <f ca="1">$N$3</f>
        <v>8.1887824897400829</v>
      </c>
      <c r="J154" s="9">
        <v>0</v>
      </c>
      <c r="K154" s="4">
        <f t="shared" ca="1" si="14"/>
        <v>225.17673727202242</v>
      </c>
    </row>
    <row r="155" spans="1:11" x14ac:dyDescent="0.4">
      <c r="A155" t="s">
        <v>489</v>
      </c>
      <c r="B155">
        <v>3110</v>
      </c>
      <c r="C155">
        <v>0.31</v>
      </c>
      <c r="D155">
        <v>96.3</v>
      </c>
      <c r="E155">
        <v>10000</v>
      </c>
      <c r="F155" cm="1">
        <f t="array" aca="1" ref="F155" ca="1">IFERROR(MATCH(TRUE, INDEX(ISNUMBER(FIND("control", INDIRECT("A" &amp; ROW() + 1 &amp; ":A1000"))), 0), 0) + ROW(), ROW())</f>
        <v>159</v>
      </c>
      <c r="G155">
        <v>1</v>
      </c>
      <c r="H155" s="3" cm="1">
        <f t="array" aca="1" ref="H155" ca="1">(B155-INDEX(B:B,F155))/INDEX(B:B,F155)/G155</f>
        <v>55.137184115523468</v>
      </c>
      <c r="I155" s="3">
        <f t="shared" ref="I155:I158" ca="1" si="15">$N$3</f>
        <v>8.1887824897400829</v>
      </c>
      <c r="J155" s="9">
        <v>0</v>
      </c>
      <c r="K155" s="4">
        <f t="shared" ca="1" si="14"/>
        <v>451.5064078187736</v>
      </c>
    </row>
    <row r="156" spans="1:11" x14ac:dyDescent="0.4">
      <c r="A156" t="s">
        <v>490</v>
      </c>
      <c r="B156">
        <v>4665.6000000000004</v>
      </c>
      <c r="C156">
        <v>0.47</v>
      </c>
      <c r="D156">
        <v>144.4</v>
      </c>
      <c r="E156">
        <v>10000</v>
      </c>
      <c r="F156" cm="1">
        <f t="array" aca="1" ref="F156" ca="1">IFERROR(MATCH(TRUE, INDEX(ISNUMBER(FIND("control", INDIRECT("A" &amp; ROW() + 1 &amp; ":A1000"))), 0), 0) + ROW(), ROW())</f>
        <v>159</v>
      </c>
      <c r="G156">
        <v>1</v>
      </c>
      <c r="H156" s="3" cm="1">
        <f t="array" aca="1" ref="H156" ca="1">(B156-INDEX(B:B,F156))/INDEX(B:B,F156)/G156</f>
        <v>83.216606498194963</v>
      </c>
      <c r="I156" s="3">
        <f t="shared" ca="1" si="15"/>
        <v>8.1887824897400829</v>
      </c>
      <c r="J156" s="9">
        <v>0</v>
      </c>
      <c r="K156" s="4">
        <f t="shared" ca="1" si="14"/>
        <v>681.44269014800966</v>
      </c>
    </row>
    <row r="157" spans="1:11" x14ac:dyDescent="0.4">
      <c r="A157" t="s">
        <v>491</v>
      </c>
      <c r="B157">
        <v>6305.7</v>
      </c>
      <c r="C157">
        <v>0.63</v>
      </c>
      <c r="D157">
        <v>195.2</v>
      </c>
      <c r="E157">
        <v>10000</v>
      </c>
      <c r="F157" cm="1">
        <f t="array" aca="1" ref="F157" ca="1">IFERROR(MATCH(TRUE, INDEX(ISNUMBER(FIND("control", INDIRECT("A" &amp; ROW() + 1 &amp; ":A1000"))), 0), 0) + ROW(), ROW())</f>
        <v>159</v>
      </c>
      <c r="G157">
        <v>1</v>
      </c>
      <c r="H157" s="3" cm="1">
        <f t="array" aca="1" ref="H157" ca="1">(B157-INDEX(B:B,F157))/INDEX(B:B,F157)/G157</f>
        <v>112.82129963898917</v>
      </c>
      <c r="I157" s="3">
        <f t="shared" ca="1" si="15"/>
        <v>8.1887824897400829</v>
      </c>
      <c r="J157" s="9">
        <v>0</v>
      </c>
      <c r="K157" s="4">
        <f t="shared" ca="1" si="14"/>
        <v>923.86908295347371</v>
      </c>
    </row>
    <row r="158" spans="1:11" x14ac:dyDescent="0.4">
      <c r="A158" t="s">
        <v>472</v>
      </c>
      <c r="B158">
        <v>7081.6</v>
      </c>
      <c r="C158">
        <v>0.71</v>
      </c>
      <c r="D158">
        <v>219.2</v>
      </c>
      <c r="E158">
        <v>10000</v>
      </c>
      <c r="F158" cm="1">
        <f t="array" aca="1" ref="F158" ca="1">IFERROR(MATCH(TRUE, INDEX(ISNUMBER(FIND("control", INDIRECT("A" &amp; ROW() + 1 &amp; ":A1000"))), 0), 0) + ROW(), ROW())</f>
        <v>159</v>
      </c>
      <c r="G158">
        <v>1</v>
      </c>
      <c r="H158" s="3" cm="1">
        <f t="array" aca="1" ref="H158" ca="1">(B158-INDEX(B:B,F158))/INDEX(B:B,F158)/G158</f>
        <v>126.82671480144406</v>
      </c>
      <c r="I158" s="3">
        <f t="shared" ca="1" si="15"/>
        <v>8.1887824897400829</v>
      </c>
      <c r="J158" s="9">
        <v>0</v>
      </c>
      <c r="K158" s="4">
        <f t="shared" ca="1" si="14"/>
        <v>1038.5563813973245</v>
      </c>
    </row>
    <row r="159" spans="1:11" x14ac:dyDescent="0.4">
      <c r="A159" t="s">
        <v>473</v>
      </c>
      <c r="B159">
        <v>55.4</v>
      </c>
      <c r="C159">
        <v>0.01</v>
      </c>
      <c r="D159">
        <v>1.7</v>
      </c>
      <c r="E159">
        <v>10000</v>
      </c>
      <c r="F159" cm="1">
        <f t="array" aca="1" ref="F159" ca="1">IFERROR(MATCH(TRUE, INDEX(ISNUMBER(FIND("control", INDIRECT("A" &amp; ROW() + 1 &amp; ":A1000"))), 0), 0) + ROW(), ROW())</f>
        <v>173</v>
      </c>
      <c r="G159">
        <v>1</v>
      </c>
      <c r="H159" s="3" cm="1">
        <f t="array" aca="1" ref="H159" ca="1">(B159-INDEX(B:B,F159))/INDEX(B:B,F159)/G159</f>
        <v>0.71517027863777105</v>
      </c>
      <c r="I159" s="3">
        <f t="shared" ca="1" si="11"/>
        <v>4.5857181942544472</v>
      </c>
      <c r="J159" s="9">
        <v>0</v>
      </c>
      <c r="K159" s="4">
        <f t="shared" ca="1" si="14"/>
        <v>3.2795693587392494</v>
      </c>
    </row>
    <row r="160" spans="1:11" x14ac:dyDescent="0.4">
      <c r="A160" t="s">
        <v>114</v>
      </c>
      <c r="B160">
        <v>81.5</v>
      </c>
      <c r="C160">
        <v>0.01</v>
      </c>
      <c r="D160">
        <v>2.5</v>
      </c>
      <c r="E160">
        <v>10000</v>
      </c>
      <c r="F160" cm="1">
        <f t="array" aca="1" ref="F160" ca="1">IFERROR(MATCH(TRUE, INDEX(ISNUMBER(FIND("control", INDIRECT("A" &amp; ROW() + 1 &amp; ":A1000"))), 0), 0) + ROW(), ROW())</f>
        <v>173</v>
      </c>
      <c r="G160">
        <v>1</v>
      </c>
      <c r="H160" s="3" cm="1">
        <f t="array" aca="1" ref="H160" ca="1">(B160-INDEX(B:B,F160))/INDEX(B:B,F160)/G160</f>
        <v>1.5232198142414863</v>
      </c>
      <c r="I160" s="3">
        <f t="shared" ca="1" si="11"/>
        <v>4.5857181942544472</v>
      </c>
      <c r="J160" s="9">
        <v>0</v>
      </c>
      <c r="K160" s="4">
        <f t="shared" ca="1" si="14"/>
        <v>6.9850568160160629</v>
      </c>
    </row>
    <row r="161" spans="1:11" x14ac:dyDescent="0.4">
      <c r="A161" t="s">
        <v>492</v>
      </c>
      <c r="B161">
        <v>82.1</v>
      </c>
      <c r="C161">
        <v>0.01</v>
      </c>
      <c r="D161">
        <v>2.5</v>
      </c>
      <c r="E161">
        <v>10000</v>
      </c>
      <c r="F161" cm="1">
        <f t="array" aca="1" ref="F161" ca="1">IFERROR(MATCH(TRUE, INDEX(ISNUMBER(FIND("control", INDIRECT("A" &amp; ROW() + 1 &amp; ":A1000"))), 0), 0) + ROW(), ROW())</f>
        <v>173</v>
      </c>
      <c r="G161">
        <v>1</v>
      </c>
      <c r="H161" s="3" cm="1">
        <f t="array" aca="1" ref="H161" ca="1">(B161-INDEX(B:B,F161))/INDEX(B:B,F161)/G161</f>
        <v>1.541795665634675</v>
      </c>
      <c r="I161" s="3">
        <f ca="1">$N$4</f>
        <v>4.5857181942544472</v>
      </c>
      <c r="J161" s="9">
        <v>0</v>
      </c>
      <c r="K161" s="4">
        <f t="shared" ca="1" si="14"/>
        <v>7.0702404357235746</v>
      </c>
    </row>
    <row r="162" spans="1:11" x14ac:dyDescent="0.4">
      <c r="A162" t="s">
        <v>100</v>
      </c>
      <c r="B162">
        <v>102.4</v>
      </c>
      <c r="C162">
        <v>0.01</v>
      </c>
      <c r="D162">
        <v>3.2</v>
      </c>
      <c r="E162">
        <v>10000</v>
      </c>
      <c r="F162" cm="1">
        <f t="array" aca="1" ref="F162" ca="1">IFERROR(MATCH(TRUE, INDEX(ISNUMBER(FIND("control", INDIRECT("A" &amp; ROW() + 1 &amp; ":A1000"))), 0), 0) + ROW(), ROW())</f>
        <v>173</v>
      </c>
      <c r="G162">
        <v>1</v>
      </c>
      <c r="H162" s="3" cm="1">
        <f t="array" aca="1" ref="H162" ca="1">(B162-INDEX(B:B,F162))/INDEX(B:B,F162)/G162</f>
        <v>2.1702786377708985</v>
      </c>
      <c r="I162" s="3">
        <f t="shared" ca="1" si="11"/>
        <v>4.5857181942544472</v>
      </c>
      <c r="J162" s="9">
        <v>0</v>
      </c>
      <c r="K162" s="4">
        <f t="shared" ca="1" si="14"/>
        <v>9.9522862358277653</v>
      </c>
    </row>
    <row r="163" spans="1:11" x14ac:dyDescent="0.4">
      <c r="A163" t="s">
        <v>493</v>
      </c>
      <c r="B163">
        <v>105.2</v>
      </c>
      <c r="C163">
        <v>0.01</v>
      </c>
      <c r="D163">
        <v>3.3</v>
      </c>
      <c r="E163">
        <v>10000</v>
      </c>
      <c r="F163" cm="1">
        <f t="array" aca="1" ref="F163" ca="1">IFERROR(MATCH(TRUE, INDEX(ISNUMBER(FIND("control", INDIRECT("A" &amp; ROW() + 1 &amp; ":A1000"))), 0), 0) + ROW(), ROW())</f>
        <v>173</v>
      </c>
      <c r="G163">
        <v>1</v>
      </c>
      <c r="H163" s="3" cm="1">
        <f t="array" aca="1" ref="H163" ca="1">(B163-INDEX(B:B,F163))/INDEX(B:B,F163)/G163</f>
        <v>2.2569659442724461</v>
      </c>
      <c r="I163" s="3">
        <f t="shared" ca="1" si="11"/>
        <v>4.5857181942544472</v>
      </c>
      <c r="J163" s="9">
        <v>0</v>
      </c>
      <c r="K163" s="4">
        <f t="shared" ca="1" si="14"/>
        <v>10.349809794462825</v>
      </c>
    </row>
    <row r="164" spans="1:11" x14ac:dyDescent="0.4">
      <c r="A164" t="s">
        <v>477</v>
      </c>
      <c r="B164">
        <v>121.3</v>
      </c>
      <c r="C164">
        <v>0.01</v>
      </c>
      <c r="D164">
        <v>3.8</v>
      </c>
      <c r="E164">
        <v>10000</v>
      </c>
      <c r="F164" cm="1">
        <f t="array" aca="1" ref="F164" ca="1">IFERROR(MATCH(TRUE, INDEX(ISNUMBER(FIND("control", INDIRECT("A" &amp; ROW() + 1 &amp; ":A1000"))), 0), 0) + ROW(), ROW())</f>
        <v>173</v>
      </c>
      <c r="G164">
        <v>1</v>
      </c>
      <c r="H164" s="3" cm="1">
        <f t="array" aca="1" ref="H164" ca="1">(B164-INDEX(B:B,F164))/INDEX(B:B,F164)/G164</f>
        <v>2.755417956656347</v>
      </c>
      <c r="I164" s="3">
        <f t="shared" ca="1" si="11"/>
        <v>4.5857181942544472</v>
      </c>
      <c r="J164" s="9">
        <v>0</v>
      </c>
      <c r="K164" s="4">
        <f t="shared" ca="1" si="14"/>
        <v>12.635570256614422</v>
      </c>
    </row>
    <row r="165" spans="1:11" x14ac:dyDescent="0.4">
      <c r="A165" t="s">
        <v>494</v>
      </c>
      <c r="B165">
        <v>127.2</v>
      </c>
      <c r="C165">
        <v>0.01</v>
      </c>
      <c r="D165">
        <v>3.9</v>
      </c>
      <c r="E165">
        <v>10000</v>
      </c>
      <c r="F165" cm="1">
        <f t="array" aca="1" ref="F165" ca="1">IFERROR(MATCH(TRUE, INDEX(ISNUMBER(FIND("control", INDIRECT("A" &amp; ROW() + 1 &amp; ":A1000"))), 0), 0) + ROW(), ROW())</f>
        <v>173</v>
      </c>
      <c r="G165">
        <v>1</v>
      </c>
      <c r="H165" s="3" cm="1">
        <f t="array" aca="1" ref="H165" ca="1">(B165-INDEX(B:B,F165))/INDEX(B:B,F165)/G165</f>
        <v>2.9380804953560378</v>
      </c>
      <c r="I165" s="3">
        <f t="shared" ca="1" si="11"/>
        <v>4.5857181942544472</v>
      </c>
      <c r="J165" s="9">
        <v>0</v>
      </c>
      <c r="K165" s="4">
        <f t="shared" ca="1" si="14"/>
        <v>13.473209183738302</v>
      </c>
    </row>
    <row r="166" spans="1:11" x14ac:dyDescent="0.4">
      <c r="A166" t="s">
        <v>495</v>
      </c>
      <c r="B166">
        <v>134.19999999999999</v>
      </c>
      <c r="C166">
        <v>0.01</v>
      </c>
      <c r="D166">
        <v>4.2</v>
      </c>
      <c r="E166">
        <v>10000</v>
      </c>
      <c r="F166" cm="1">
        <f t="array" aca="1" ref="F166" ca="1">IFERROR(MATCH(TRUE, INDEX(ISNUMBER(FIND("control", INDIRECT("A" &amp; ROW() + 1 &amp; ":A1000"))), 0), 0) + ROW(), ROW())</f>
        <v>173</v>
      </c>
      <c r="G166">
        <v>1</v>
      </c>
      <c r="H166" s="3" cm="1">
        <f t="array" aca="1" ref="H166" ca="1">(B166-INDEX(B:B,F166))/INDEX(B:B,F166)/G166</f>
        <v>3.1547987616099071</v>
      </c>
      <c r="I166" s="3">
        <f t="shared" ca="1" si="11"/>
        <v>4.5857181942544472</v>
      </c>
      <c r="J166" s="9">
        <v>0</v>
      </c>
      <c r="K166" s="4">
        <f t="shared" ca="1" si="14"/>
        <v>14.46701808032595</v>
      </c>
    </row>
    <row r="167" spans="1:11" x14ac:dyDescent="0.4">
      <c r="A167" t="s">
        <v>474</v>
      </c>
      <c r="B167">
        <v>77</v>
      </c>
      <c r="C167">
        <v>0.01</v>
      </c>
      <c r="D167">
        <v>2.4</v>
      </c>
      <c r="E167">
        <v>10000</v>
      </c>
      <c r="F167" cm="1">
        <f t="array" aca="1" ref="F167" ca="1">IFERROR(MATCH(TRUE, INDEX(ISNUMBER(FIND("control", INDIRECT("A" &amp; ROW() + 1 &amp; ":A1000"))), 0), 0) + ROW(), ROW())</f>
        <v>173</v>
      </c>
      <c r="G167">
        <v>1</v>
      </c>
      <c r="H167" s="3" cm="1">
        <f t="array" aca="1" ref="H167" ca="1">(B167-INDEX(B:B,F167))/INDEX(B:B,F167)/G167</f>
        <v>1.3839009287925699</v>
      </c>
      <c r="I167" s="3">
        <f t="shared" ca="1" si="11"/>
        <v>4.5857181942544472</v>
      </c>
      <c r="J167" s="9">
        <v>0</v>
      </c>
      <c r="K167" s="4">
        <f t="shared" ca="1" si="14"/>
        <v>6.3461796682097154</v>
      </c>
    </row>
    <row r="168" spans="1:11" x14ac:dyDescent="0.4">
      <c r="A168" t="s">
        <v>496</v>
      </c>
      <c r="B168">
        <v>207.7</v>
      </c>
      <c r="C168">
        <v>0.02</v>
      </c>
      <c r="D168">
        <v>6.4</v>
      </c>
      <c r="E168">
        <v>10000</v>
      </c>
      <c r="F168" cm="1">
        <f t="array" aca="1" ref="F168" ca="1">IFERROR(MATCH(TRUE, INDEX(ISNUMBER(FIND("control", INDIRECT("A" &amp; ROW() + 1 &amp; ":A1000"))), 0), 0) + ROW(), ROW())</f>
        <v>173</v>
      </c>
      <c r="G168">
        <v>1</v>
      </c>
      <c r="H168" s="3" cm="1">
        <f t="array" aca="1" ref="H168" ca="1">(B168-INDEX(B:B,F168))/INDEX(B:B,F168)/G168</f>
        <v>5.4303405572755414</v>
      </c>
      <c r="I168" s="3">
        <f t="shared" ca="1" si="11"/>
        <v>4.5857181942544472</v>
      </c>
      <c r="J168" s="9">
        <v>0</v>
      </c>
      <c r="K168" s="4">
        <f t="shared" ca="1" si="14"/>
        <v>24.902011494496286</v>
      </c>
    </row>
    <row r="169" spans="1:11" x14ac:dyDescent="0.4">
      <c r="A169" t="s">
        <v>497</v>
      </c>
      <c r="B169">
        <v>365.4</v>
      </c>
      <c r="C169">
        <v>0.04</v>
      </c>
      <c r="D169">
        <v>11.3</v>
      </c>
      <c r="E169">
        <v>10000</v>
      </c>
      <c r="F169" cm="1">
        <f t="array" aca="1" ref="F169" ca="1">IFERROR(MATCH(TRUE, INDEX(ISNUMBER(FIND("control", INDIRECT("A" &amp; ROW() + 1 &amp; ":A1000"))), 0), 0) + ROW(), ROW())</f>
        <v>173</v>
      </c>
      <c r="G169">
        <v>1</v>
      </c>
      <c r="H169" s="3" cm="1">
        <f t="array" aca="1" ref="H169" ca="1">(B169-INDEX(B:B,F169))/INDEX(B:B,F169)/G169</f>
        <v>10.312693498452012</v>
      </c>
      <c r="I169" s="3">
        <f t="shared" ca="1" si="11"/>
        <v>4.5857181942544472</v>
      </c>
      <c r="J169" s="9">
        <v>0</v>
      </c>
      <c r="K169" s="4">
        <f t="shared" ca="1" si="14"/>
        <v>47.291106207620935</v>
      </c>
    </row>
    <row r="170" spans="1:11" x14ac:dyDescent="0.4">
      <c r="A170" t="s">
        <v>498</v>
      </c>
      <c r="B170">
        <v>529.9</v>
      </c>
      <c r="C170">
        <v>0.05</v>
      </c>
      <c r="D170">
        <v>16.399999999999999</v>
      </c>
      <c r="E170">
        <v>10000</v>
      </c>
      <c r="F170" cm="1">
        <f t="array" aca="1" ref="F170" ca="1">IFERROR(MATCH(TRUE, INDEX(ISNUMBER(FIND("control", INDIRECT("A" &amp; ROW() + 1 &amp; ":A1000"))), 0), 0) + ROW(), ROW())</f>
        <v>173</v>
      </c>
      <c r="G170">
        <v>1</v>
      </c>
      <c r="H170" s="3" cm="1">
        <f t="array" aca="1" ref="H170" ca="1">(B170-INDEX(B:B,F170))/INDEX(B:B,F170)/G170</f>
        <v>15.405572755417957</v>
      </c>
      <c r="I170" s="3">
        <f t="shared" ca="1" si="11"/>
        <v>4.5857181942544472</v>
      </c>
      <c r="J170" s="9">
        <v>0</v>
      </c>
      <c r="K170" s="4">
        <f t="shared" ca="1" si="14"/>
        <v>70.645615277430736</v>
      </c>
    </row>
    <row r="171" spans="1:11" x14ac:dyDescent="0.4">
      <c r="A171" t="s">
        <v>499</v>
      </c>
      <c r="B171">
        <v>673.3</v>
      </c>
      <c r="C171">
        <v>7.0000000000000007E-2</v>
      </c>
      <c r="D171">
        <v>20.8</v>
      </c>
      <c r="E171">
        <v>10000</v>
      </c>
      <c r="F171" cm="1">
        <f t="array" aca="1" ref="F171" ca="1">IFERROR(MATCH(TRUE, INDEX(ISNUMBER(FIND("control", INDIRECT("A" &amp; ROW() + 1 &amp; ":A1000"))), 0), 0) + ROW(), ROW())</f>
        <v>173</v>
      </c>
      <c r="G171">
        <v>1</v>
      </c>
      <c r="H171" s="3" cm="1">
        <f t="array" aca="1" ref="H171" ca="1">(B171-INDEX(B:B,F171))/INDEX(B:B,F171)/G171</f>
        <v>19.845201238390093</v>
      </c>
      <c r="I171" s="3">
        <f t="shared" ca="1" si="11"/>
        <v>4.5857181942544472</v>
      </c>
      <c r="J171" s="9">
        <v>0</v>
      </c>
      <c r="K171" s="4">
        <f t="shared" ca="1" si="14"/>
        <v>91.004500387526335</v>
      </c>
    </row>
    <row r="172" spans="1:11" x14ac:dyDescent="0.4">
      <c r="A172" t="s">
        <v>475</v>
      </c>
      <c r="B172">
        <v>843.7</v>
      </c>
      <c r="C172">
        <v>0.08</v>
      </c>
      <c r="D172">
        <v>26.1</v>
      </c>
      <c r="E172">
        <v>10000</v>
      </c>
      <c r="F172" cm="1">
        <f t="array" aca="1" ref="F172" ca="1">IFERROR(MATCH(TRUE, INDEX(ISNUMBER(FIND("control", INDIRECT("A" &amp; ROW() + 1 &amp; ":A1000"))), 0), 0) + ROW(), ROW())</f>
        <v>173</v>
      </c>
      <c r="G172">
        <v>1</v>
      </c>
      <c r="H172" s="3" cm="1">
        <f t="array" aca="1" ref="H172" ca="1">(B172-INDEX(B:B,F172))/INDEX(B:B,F172)/G172</f>
        <v>25.120743034055732</v>
      </c>
      <c r="I172" s="3">
        <f t="shared" ca="1" si="11"/>
        <v>4.5857181942544472</v>
      </c>
      <c r="J172" s="9">
        <v>0</v>
      </c>
      <c r="K172" s="4">
        <f t="shared" ca="1" si="14"/>
        <v>115.19664838446003</v>
      </c>
    </row>
    <row r="173" spans="1:11" x14ac:dyDescent="0.4">
      <c r="A173" t="s">
        <v>476</v>
      </c>
      <c r="B173">
        <v>32.299999999999997</v>
      </c>
      <c r="C173">
        <v>0</v>
      </c>
      <c r="D173">
        <v>1</v>
      </c>
      <c r="E173">
        <v>10000</v>
      </c>
      <c r="F173" cm="1">
        <f t="array" aca="1" ref="F173" ca="1">IFERROR(MATCH(TRUE, INDEX(ISNUMBER(FIND("control", INDIRECT("A" &amp; ROW() + 1 &amp; ":A1000"))), 0), 0) + ROW(), ROW())</f>
        <v>173</v>
      </c>
      <c r="G173">
        <v>1</v>
      </c>
      <c r="H173" s="3" cm="1">
        <f t="array" aca="1" ref="H173" ca="1">(B173-INDEX(B:B,F173))/INDEX(B:B,F173)/G173</f>
        <v>0</v>
      </c>
      <c r="I173" s="3">
        <f t="shared" ca="1" si="11"/>
        <v>4.5857181942544472</v>
      </c>
      <c r="J173" s="9">
        <v>0</v>
      </c>
      <c r="K173" s="4">
        <f t="shared" ca="1" si="14"/>
        <v>0.1</v>
      </c>
    </row>
  </sheetData>
  <mergeCells count="1">
    <mergeCell ref="M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9D6FD-A59E-4C43-93D2-DD4311167F28}">
  <sheetPr codeName="Sheet2"/>
  <dimension ref="A1:C158"/>
  <sheetViews>
    <sheetView topLeftCell="A116" zoomScale="90" zoomScaleNormal="90" workbookViewId="0">
      <selection activeCell="G142" sqref="G142"/>
    </sheetView>
  </sheetViews>
  <sheetFormatPr defaultRowHeight="14.6" x14ac:dyDescent="0.4"/>
  <cols>
    <col min="1" max="1" width="24.15234375" customWidth="1"/>
    <col min="2" max="2" width="9.23046875" style="4"/>
  </cols>
  <sheetData>
    <row r="1" spans="1:3" ht="14.15" customHeight="1" x14ac:dyDescent="0.4">
      <c r="A1" s="1" t="s">
        <v>103</v>
      </c>
      <c r="B1" s="6" t="s">
        <v>108</v>
      </c>
      <c r="C1" s="1" t="s">
        <v>478</v>
      </c>
    </row>
    <row r="2" spans="1:3" x14ac:dyDescent="0.4">
      <c r="A2" t="str" cm="1">
        <f t="array" aca="1" ref="A2:A158" ca="1">SUBSTITUTE(_xlfn._xlws.FILTER('Data Collected'!A2:A999, ('Data Collected'!K2:K999 &gt; 0) * (NOT(ISNUMBER(SEARCH("control", 'Data Collected'!A2:A999)))), "No matches found"),"*","mult")</f>
        <v>move</v>
      </c>
      <c r="B2" s="4" cm="1">
        <f t="array" aca="1" ref="B2:B158" ca="1">_xlfn._xlws.FILTER('Data Collected'!K2:K999, ('Data Collected'!K2:K999 &gt; 0) * (NOT(ISNUMBER(SEARCH("control", 'Data Collected'!A2:A999)))), "No matches found")</f>
        <v>7.1238735560967559</v>
      </c>
      <c r="C2" cm="1">
        <f t="array" aca="1" ref="C2" ca="1">IFERROR(VALUE(MID(A2,MIN(FIND({0,1,2,3,4,5,6,7,8,9},A2&amp;"0123456789")), FIND(" ",A2&amp;" ",MIN(FIND({0,1,2,3,4,5,6,7,8,9},A2&amp;"0123456789")))-MIN(FIND({0,1,2,3,4,5,6,7,8,9},A2&amp;"0123456789")))), 1)</f>
        <v>1</v>
      </c>
    </row>
    <row r="3" spans="1:3" x14ac:dyDescent="0.4">
      <c r="A3" t="str">
        <f ca="1"/>
        <v>turn</v>
      </c>
      <c r="B3" s="4">
        <f ca="1"/>
        <v>6.5950911890462756</v>
      </c>
      <c r="C3" cm="1">
        <f t="array" aca="1" ref="C3" ca="1">IFERROR(VALUE(MID(A3,MIN(FIND({0,1,2,3,4,5,6,7,8,9},A3&amp;"0123456789")), FIND(" ",A3&amp;" ",MIN(FIND({0,1,2,3,4,5,6,7,8,9},A3&amp;"0123456789")))-MIN(FIND({0,1,2,3,4,5,6,7,8,9},A3&amp;"0123456789")))), 1)</f>
        <v>1</v>
      </c>
    </row>
    <row r="4" spans="1:3" x14ac:dyDescent="0.4">
      <c r="A4" t="str">
        <f ca="1"/>
        <v>go to</v>
      </c>
      <c r="B4" s="4">
        <f ca="1"/>
        <v>7.3559502616355772</v>
      </c>
      <c r="C4" cm="1">
        <f t="array" aca="1" ref="C4" ca="1">IFERROR(VALUE(MID(A4,MIN(FIND({0,1,2,3,4,5,6,7,8,9},A4&amp;"0123456789")), FIND(" ",A4&amp;" ",MIN(FIND({0,1,2,3,4,5,6,7,8,9},A4&amp;"0123456789")))-MIN(FIND({0,1,2,3,4,5,6,7,8,9},A4&amp;"0123456789")))), 1)</f>
        <v>1</v>
      </c>
    </row>
    <row r="5" spans="1:3" x14ac:dyDescent="0.4">
      <c r="A5" t="str">
        <f ca="1"/>
        <v>go to xy</v>
      </c>
      <c r="B5" s="4">
        <f ca="1"/>
        <v>7.6291544846116608</v>
      </c>
      <c r="C5" cm="1">
        <f t="array" aca="1" ref="C5" ca="1">IFERROR(VALUE(MID(A5,MIN(FIND({0,1,2,3,4,5,6,7,8,9},A5&amp;"0123456789")), FIND(" ",A5&amp;" ",MIN(FIND({0,1,2,3,4,5,6,7,8,9},A5&amp;"0123456789")))-MIN(FIND({0,1,2,3,4,5,6,7,8,9},A5&amp;"0123456789")))), 1)</f>
        <v>1</v>
      </c>
    </row>
    <row r="6" spans="1:3" x14ac:dyDescent="0.4">
      <c r="A6" t="str">
        <f ca="1"/>
        <v>point in direction</v>
      </c>
      <c r="B6" s="4">
        <f ca="1"/>
        <v>6.5333999128903848</v>
      </c>
      <c r="C6" cm="1">
        <f t="array" aca="1" ref="C6" ca="1">IFERROR(VALUE(MID(A6,MIN(FIND({0,1,2,3,4,5,6,7,8,9},A6&amp;"0123456789")), FIND(" ",A6&amp;" ",MIN(FIND({0,1,2,3,4,5,6,7,8,9},A6&amp;"0123456789")))-MIN(FIND({0,1,2,3,4,5,6,7,8,9},A6&amp;"0123456789")))), 1)</f>
        <v>1</v>
      </c>
    </row>
    <row r="7" spans="1:3" x14ac:dyDescent="0.4">
      <c r="A7" t="str">
        <f ca="1"/>
        <v>point towards</v>
      </c>
      <c r="B7" s="4">
        <f ca="1"/>
        <v>8.099183255323199</v>
      </c>
      <c r="C7" cm="1">
        <f t="array" aca="1" ref="C7" ca="1">IFERROR(VALUE(MID(A7,MIN(FIND({0,1,2,3,4,5,6,7,8,9},A7&amp;"0123456789")), FIND(" ",A7&amp;" ",MIN(FIND({0,1,2,3,4,5,6,7,8,9},A7&amp;"0123456789")))-MIN(FIND({0,1,2,3,4,5,6,7,8,9},A7&amp;"0123456789")))), 1)</f>
        <v>1</v>
      </c>
    </row>
    <row r="8" spans="1:3" x14ac:dyDescent="0.4">
      <c r="A8" t="str">
        <f ca="1"/>
        <v>change x by</v>
      </c>
      <c r="B8" s="4">
        <f ca="1"/>
        <v>7.4382052965100973</v>
      </c>
      <c r="C8" cm="1">
        <f t="array" aca="1" ref="C8" ca="1">IFERROR(VALUE(MID(A8,MIN(FIND({0,1,2,3,4,5,6,7,8,9},A8&amp;"0123456789")), FIND(" ",A8&amp;" ",MIN(FIND({0,1,2,3,4,5,6,7,8,9},A8&amp;"0123456789")))-MIN(FIND({0,1,2,3,4,5,6,7,8,9},A8&amp;"0123456789")))), 1)</f>
        <v>1</v>
      </c>
    </row>
    <row r="9" spans="1:3" x14ac:dyDescent="0.4">
      <c r="A9" t="str">
        <f ca="1"/>
        <v>set x to</v>
      </c>
      <c r="B9" s="4">
        <f ca="1"/>
        <v>6.9946156441510814</v>
      </c>
      <c r="C9" cm="1">
        <f t="array" aca="1" ref="C9" ca="1">IFERROR(VALUE(MID(A9,MIN(FIND({0,1,2,3,4,5,6,7,8,9},A9&amp;"0123456789")), FIND(" ",A9&amp;" ",MIN(FIND({0,1,2,3,4,5,6,7,8,9},A9&amp;"0123456789")))-MIN(FIND({0,1,2,3,4,5,6,7,8,9},A9&amp;"0123456789")))), 1)</f>
        <v>1</v>
      </c>
    </row>
    <row r="10" spans="1:3" x14ac:dyDescent="0.4">
      <c r="A10" t="str">
        <f ca="1"/>
        <v>if on edge bounce</v>
      </c>
      <c r="B10" s="4">
        <f ca="1"/>
        <v>5.5052119769588943</v>
      </c>
      <c r="C10" cm="1">
        <f t="array" aca="1" ref="C10" ca="1">IFERROR(VALUE(MID(A10,MIN(FIND({0,1,2,3,4,5,6,7,8,9},A10&amp;"0123456789")), FIND(" ",A10&amp;" ",MIN(FIND({0,1,2,3,4,5,6,7,8,9},A10&amp;"0123456789")))-MIN(FIND({0,1,2,3,4,5,6,7,8,9},A10&amp;"0123456789")))), 1)</f>
        <v>1</v>
      </c>
    </row>
    <row r="11" spans="1:3" x14ac:dyDescent="0.4">
      <c r="A11" t="str">
        <f ca="1"/>
        <v>set rotation style</v>
      </c>
      <c r="B11" s="4">
        <f ca="1"/>
        <v>6.7214114211749996</v>
      </c>
      <c r="C11" cm="1">
        <f t="array" aca="1" ref="C11" ca="1">IFERROR(VALUE(MID(A11,MIN(FIND({0,1,2,3,4,5,6,7,8,9},A11&amp;"0123456789")), FIND(" ",A11&amp;" ",MIN(FIND({0,1,2,3,4,5,6,7,8,9},A11&amp;"0123456789")))-MIN(FIND({0,1,2,3,4,5,6,7,8,9},A11&amp;"0123456789")))), 1)</f>
        <v>1</v>
      </c>
    </row>
    <row r="12" spans="1:3" x14ac:dyDescent="0.4">
      <c r="A12" t="str">
        <f ca="1"/>
        <v>say</v>
      </c>
      <c r="B12" s="4">
        <f ca="1"/>
        <v>35.804952120383042</v>
      </c>
      <c r="C12" cm="1">
        <f t="array" aca="1" ref="C12" ca="1">IFERROR(VALUE(MID(A12,MIN(FIND({0,1,2,3,4,5,6,7,8,9},A12&amp;"0123456789")), FIND(" ",A12&amp;" ",MIN(FIND({0,1,2,3,4,5,6,7,8,9},A12&amp;"0123456789")))-MIN(FIND({0,1,2,3,4,5,6,7,8,9},A12&amp;"0123456789")))), 1)</f>
        <v>1</v>
      </c>
    </row>
    <row r="13" spans="1:3" x14ac:dyDescent="0.4">
      <c r="A13" t="str">
        <f ca="1"/>
        <v>think</v>
      </c>
      <c r="B13" s="4">
        <f ca="1"/>
        <v>39.537838577291396</v>
      </c>
      <c r="C13" cm="1">
        <f t="array" aca="1" ref="C13" ca="1">IFERROR(VALUE(MID(A13,MIN(FIND({0,1,2,3,4,5,6,7,8,9},A13&amp;"0123456789")), FIND(" ",A13&amp;" ",MIN(FIND({0,1,2,3,4,5,6,7,8,9},A13&amp;"0123456789")))-MIN(FIND({0,1,2,3,4,5,6,7,8,9},A13&amp;"0123456789")))), 1)</f>
        <v>1</v>
      </c>
    </row>
    <row r="14" spans="1:3" x14ac:dyDescent="0.4">
      <c r="A14" t="str">
        <f ca="1"/>
        <v>switch costume to</v>
      </c>
      <c r="B14" s="4">
        <f ca="1"/>
        <v>304.89433652530784</v>
      </c>
      <c r="C14" cm="1">
        <f t="array" aca="1" ref="C14" ca="1">IFERROR(VALUE(MID(A14,MIN(FIND({0,1,2,3,4,5,6,7,8,9},A14&amp;"0123456789")), FIND(" ",A14&amp;" ",MIN(FIND({0,1,2,3,4,5,6,7,8,9},A14&amp;"0123456789")))-MIN(FIND({0,1,2,3,4,5,6,7,8,9},A14&amp;"0123456789")))), 1)</f>
        <v>1</v>
      </c>
    </row>
    <row r="15" spans="1:3" x14ac:dyDescent="0.4">
      <c r="A15" t="str">
        <f ca="1"/>
        <v>next costume</v>
      </c>
      <c r="B15" s="4">
        <f ca="1"/>
        <v>312.01058823529422</v>
      </c>
      <c r="C15" cm="1">
        <f t="array" aca="1" ref="C15" ca="1">IFERROR(VALUE(MID(A15,MIN(FIND({0,1,2,3,4,5,6,7,8,9},A15&amp;"0123456789")), FIND(" ",A15&amp;" ",MIN(FIND({0,1,2,3,4,5,6,7,8,9},A15&amp;"0123456789")))-MIN(FIND({0,1,2,3,4,5,6,7,8,9},A15&amp;"0123456789")))), 1)</f>
        <v>1</v>
      </c>
    </row>
    <row r="16" spans="1:3" x14ac:dyDescent="0.4">
      <c r="A16" t="str">
        <f ca="1"/>
        <v>switch backdrop to</v>
      </c>
      <c r="B16" s="4">
        <f ca="1"/>
        <v>14.589015047879622</v>
      </c>
      <c r="C16" cm="1">
        <f t="array" aca="1" ref="C16" ca="1">IFERROR(VALUE(MID(A16,MIN(FIND({0,1,2,3,4,5,6,7,8,9},A16&amp;"0123456789")), FIND(" ",A16&amp;" ",MIN(FIND({0,1,2,3,4,5,6,7,8,9},A16&amp;"0123456789")))-MIN(FIND({0,1,2,3,4,5,6,7,8,9},A16&amp;"0123456789")))), 1)</f>
        <v>1</v>
      </c>
    </row>
    <row r="17" spans="1:3" x14ac:dyDescent="0.4">
      <c r="A17" t="str">
        <f ca="1"/>
        <v>next backdrop</v>
      </c>
      <c r="B17" s="4">
        <f ca="1"/>
        <v>20.090478796169634</v>
      </c>
      <c r="C17" cm="1">
        <f t="array" aca="1" ref="C17" ca="1">IFERROR(VALUE(MID(A17,MIN(FIND({0,1,2,3,4,5,6,7,8,9},A17&amp;"0123456789")), FIND(" ",A17&amp;" ",MIN(FIND({0,1,2,3,4,5,6,7,8,9},A17&amp;"0123456789")))-MIN(FIND({0,1,2,3,4,5,6,7,8,9},A17&amp;"0123456789")))), 1)</f>
        <v>1</v>
      </c>
    </row>
    <row r="18" spans="1:3" x14ac:dyDescent="0.4">
      <c r="A18" t="str">
        <f ca="1"/>
        <v>change size by</v>
      </c>
      <c r="B18" s="4">
        <f ca="1"/>
        <v>23.781422708618344</v>
      </c>
      <c r="C18" cm="1">
        <f t="array" aca="1" ref="C18" ca="1">IFERROR(VALUE(MID(A18,MIN(FIND({0,1,2,3,4,5,6,7,8,9},A18&amp;"0123456789")), FIND(" ",A18&amp;" ",MIN(FIND({0,1,2,3,4,5,6,7,8,9},A18&amp;"0123456789")))-MIN(FIND({0,1,2,3,4,5,6,7,8,9},A18&amp;"0123456789")))), 1)</f>
        <v>1</v>
      </c>
    </row>
    <row r="19" spans="1:3" x14ac:dyDescent="0.4">
      <c r="A19" t="str">
        <f ca="1"/>
        <v>set size to</v>
      </c>
      <c r="B19" s="4">
        <f ca="1"/>
        <v>13.197920656634752</v>
      </c>
      <c r="C19" cm="1">
        <f t="array" aca="1" ref="C19" ca="1">IFERROR(VALUE(MID(A19,MIN(FIND({0,1,2,3,4,5,6,7,8,9},A19&amp;"0123456789")), FIND(" ",A19&amp;" ",MIN(FIND({0,1,2,3,4,5,6,7,8,9},A19&amp;"0123456789")))-MIN(FIND({0,1,2,3,4,5,6,7,8,9},A19&amp;"0123456789")))), 1)</f>
        <v>1</v>
      </c>
    </row>
    <row r="20" spans="1:3" x14ac:dyDescent="0.4">
      <c r="A20" t="str">
        <f ca="1"/>
        <v>set colour effect</v>
      </c>
      <c r="B20" s="4">
        <f ca="1"/>
        <v>17.378194254445969</v>
      </c>
      <c r="C20" cm="1">
        <f t="array" aca="1" ref="C20" ca="1">IFERROR(VALUE(MID(A20,MIN(FIND({0,1,2,3,4,5,6,7,8,9},A20&amp;"0123456789")), FIND(" ",A20&amp;" ",MIN(FIND({0,1,2,3,4,5,6,7,8,9},A20&amp;"0123456789")))-MIN(FIND({0,1,2,3,4,5,6,7,8,9},A20&amp;"0123456789")))), 1)</f>
        <v>1</v>
      </c>
    </row>
    <row r="21" spans="1:3" x14ac:dyDescent="0.4">
      <c r="A21" t="str">
        <f ca="1"/>
        <v>set fisheye effect</v>
      </c>
      <c r="B21" s="4">
        <f ca="1"/>
        <v>348.97595075239411</v>
      </c>
      <c r="C21" cm="1">
        <f t="array" aca="1" ref="C21" ca="1">IFERROR(VALUE(MID(A21,MIN(FIND({0,1,2,3,4,5,6,7,8,9},A21&amp;"0123456789")), FIND(" ",A21&amp;" ",MIN(FIND({0,1,2,3,4,5,6,7,8,9},A21&amp;"0123456789")))-MIN(FIND({0,1,2,3,4,5,6,7,8,9},A21&amp;"0123456789")))), 1)</f>
        <v>1</v>
      </c>
    </row>
    <row r="22" spans="1:3" x14ac:dyDescent="0.4">
      <c r="A22" t="str">
        <f ca="1"/>
        <v>set whirl effect</v>
      </c>
      <c r="B22" s="4">
        <f ca="1"/>
        <v>336.16949384404933</v>
      </c>
      <c r="C22" cm="1">
        <f t="array" aca="1" ref="C22" ca="1">IFERROR(VALUE(MID(A22,MIN(FIND({0,1,2,3,4,5,6,7,8,9},A22&amp;"0123456789")), FIND(" ",A22&amp;" ",MIN(FIND({0,1,2,3,4,5,6,7,8,9},A22&amp;"0123456789")))-MIN(FIND({0,1,2,3,4,5,6,7,8,9},A22&amp;"0123456789")))), 1)</f>
        <v>1</v>
      </c>
    </row>
    <row r="23" spans="1:3" x14ac:dyDescent="0.4">
      <c r="A23" t="str">
        <f ca="1"/>
        <v>set pixelate effect</v>
      </c>
      <c r="B23" s="4">
        <f ca="1"/>
        <v>165.63110807113549</v>
      </c>
      <c r="C23" cm="1">
        <f t="array" aca="1" ref="C23" ca="1">IFERROR(VALUE(MID(A23,MIN(FIND({0,1,2,3,4,5,6,7,8,9},A23&amp;"0123456789")), FIND(" ",A23&amp;" ",MIN(FIND({0,1,2,3,4,5,6,7,8,9},A23&amp;"0123456789")))-MIN(FIND({0,1,2,3,4,5,6,7,8,9},A23&amp;"0123456789")))), 1)</f>
        <v>1</v>
      </c>
    </row>
    <row r="24" spans="1:3" x14ac:dyDescent="0.4">
      <c r="A24" t="str">
        <f ca="1"/>
        <v>set mosaic effect</v>
      </c>
      <c r="B24" s="4">
        <f ca="1"/>
        <v>187.20355677154589</v>
      </c>
      <c r="C24" cm="1">
        <f t="array" aca="1" ref="C24" ca="1">IFERROR(VALUE(MID(A24,MIN(FIND({0,1,2,3,4,5,6,7,8,9},A24&amp;"0123456789")), FIND(" ",A24&amp;" ",MIN(FIND({0,1,2,3,4,5,6,7,8,9},A24&amp;"0123456789")))-MIN(FIND({0,1,2,3,4,5,6,7,8,9},A24&amp;"0123456789")))), 1)</f>
        <v>1</v>
      </c>
    </row>
    <row r="25" spans="1:3" x14ac:dyDescent="0.4">
      <c r="A25" t="str">
        <f ca="1"/>
        <v>set brightness effect</v>
      </c>
      <c r="B25" s="4">
        <f ca="1"/>
        <v>12.764514363885093</v>
      </c>
      <c r="C25" cm="1">
        <f t="array" aca="1" ref="C25" ca="1">IFERROR(VALUE(MID(A25,MIN(FIND({0,1,2,3,4,5,6,7,8,9},A25&amp;"0123456789")), FIND(" ",A25&amp;" ",MIN(FIND({0,1,2,3,4,5,6,7,8,9},A25&amp;"0123456789")))-MIN(FIND({0,1,2,3,4,5,6,7,8,9},A25&amp;"0123456789")))), 1)</f>
        <v>1</v>
      </c>
    </row>
    <row r="26" spans="1:3" x14ac:dyDescent="0.4">
      <c r="A26" t="str">
        <f ca="1"/>
        <v>set ghost effect</v>
      </c>
      <c r="B26" s="4">
        <f ca="1"/>
        <v>11.841778385772917</v>
      </c>
      <c r="C26" cm="1">
        <f t="array" aca="1" ref="C26" ca="1">IFERROR(VALUE(MID(A26,MIN(FIND({0,1,2,3,4,5,6,7,8,9},A26&amp;"0123456789")), FIND(" ",A26&amp;" ",MIN(FIND({0,1,2,3,4,5,6,7,8,9},A26&amp;"0123456789")))-MIN(FIND({0,1,2,3,4,5,6,7,8,9},A26&amp;"0123456789")))), 1)</f>
        <v>1</v>
      </c>
    </row>
    <row r="27" spans="1:3" x14ac:dyDescent="0.4">
      <c r="A27" t="str">
        <f ca="1"/>
        <v>clear graphic effects</v>
      </c>
      <c r="B27" s="4">
        <f ca="1"/>
        <v>318.14818057455545</v>
      </c>
      <c r="C27" cm="1">
        <f t="array" aca="1" ref="C27" ca="1">IFERROR(VALUE(MID(A27,MIN(FIND({0,1,2,3,4,5,6,7,8,9},A27&amp;"0123456789")), FIND(" ",A27&amp;" ",MIN(FIND({0,1,2,3,4,5,6,7,8,9},A27&amp;"0123456789")))-MIN(FIND({0,1,2,3,4,5,6,7,8,9},A27&amp;"0123456789")))), 1)</f>
        <v>1</v>
      </c>
    </row>
    <row r="28" spans="1:3" x14ac:dyDescent="0.4">
      <c r="A28" t="str">
        <f ca="1"/>
        <v>show</v>
      </c>
      <c r="B28" s="4">
        <f ca="1"/>
        <v>27.751983584131338</v>
      </c>
      <c r="C28" cm="1">
        <f t="array" aca="1" ref="C28" ca="1">IFERROR(VALUE(MID(A28,MIN(FIND({0,1,2,3,4,5,6,7,8,9},A28&amp;"0123456789")), FIND(" ",A28&amp;" ",MIN(FIND({0,1,2,3,4,5,6,7,8,9},A28&amp;"0123456789")))-MIN(FIND({0,1,2,3,4,5,6,7,8,9},A28&amp;"0123456789")))), 1)</f>
        <v>1</v>
      </c>
    </row>
    <row r="29" spans="1:3" x14ac:dyDescent="0.4">
      <c r="A29" t="str">
        <f ca="1"/>
        <v>hide</v>
      </c>
      <c r="B29" s="4">
        <f ca="1"/>
        <v>7.0183857729138195</v>
      </c>
      <c r="C29" cm="1">
        <f t="array" aca="1" ref="C29" ca="1">IFERROR(VALUE(MID(A29,MIN(FIND({0,1,2,3,4,5,6,7,8,9},A29&amp;"0123456789")), FIND(" ",A29&amp;" ",MIN(FIND({0,1,2,3,4,5,6,7,8,9},A29&amp;"0123456789")))-MIN(FIND({0,1,2,3,4,5,6,7,8,9},A29&amp;"0123456789")))), 1)</f>
        <v>1</v>
      </c>
    </row>
    <row r="30" spans="1:3" x14ac:dyDescent="0.4">
      <c r="A30" t="str">
        <f ca="1"/>
        <v>go to front</v>
      </c>
      <c r="B30" s="4">
        <f ca="1"/>
        <v>8.2207387140902899</v>
      </c>
      <c r="C30" cm="1">
        <f t="array" aca="1" ref="C30" ca="1">IFERROR(VALUE(MID(A30,MIN(FIND({0,1,2,3,4,5,6,7,8,9},A30&amp;"0123456789")), FIND(" ",A30&amp;" ",MIN(FIND({0,1,2,3,4,5,6,7,8,9},A30&amp;"0123456789")))-MIN(FIND({0,1,2,3,4,5,6,7,8,9},A30&amp;"0123456789")))), 1)</f>
        <v>1</v>
      </c>
    </row>
    <row r="31" spans="1:3" x14ac:dyDescent="0.4">
      <c r="A31" t="str">
        <f ca="1"/>
        <v>go forward layers</v>
      </c>
      <c r="B31" s="4">
        <f ca="1"/>
        <v>5.5503967168262678</v>
      </c>
      <c r="C31" cm="1">
        <f t="array" aca="1" ref="C31" ca="1">IFERROR(VALUE(MID(A31,MIN(FIND({0,1,2,3,4,5,6,7,8,9},A31&amp;"0123456789")), FIND(" ",A31&amp;" ",MIN(FIND({0,1,2,3,4,5,6,7,8,9},A31&amp;"0123456789")))-MIN(FIND({0,1,2,3,4,5,6,7,8,9},A31&amp;"0123456789")))), 1)</f>
        <v>1</v>
      </c>
    </row>
    <row r="32" spans="1:3" x14ac:dyDescent="0.4">
      <c r="A32" t="str">
        <f ca="1"/>
        <v>repeat</v>
      </c>
      <c r="B32" s="4">
        <f ca="1"/>
        <v>6.2568326773140424</v>
      </c>
      <c r="C32" cm="1">
        <f t="array" aca="1" ref="C32" ca="1">IFERROR(VALUE(MID(A32,MIN(FIND({0,1,2,3,4,5,6,7,8,9},A32&amp;"0123456789")), FIND(" ",A32&amp;" ",MIN(FIND({0,1,2,3,4,5,6,7,8,9},A32&amp;"0123456789")))-MIN(FIND({0,1,2,3,4,5,6,7,8,9},A32&amp;"0123456789")))), 1)</f>
        <v>1</v>
      </c>
    </row>
    <row r="33" spans="1:3" x14ac:dyDescent="0.4">
      <c r="A33" t="str">
        <f ca="1"/>
        <v>for each</v>
      </c>
      <c r="B33" s="4">
        <f ca="1"/>
        <v>7.6567427223821509</v>
      </c>
      <c r="C33" cm="1">
        <f t="array" aca="1" ref="C33" ca="1">IFERROR(VALUE(MID(A33,MIN(FIND({0,1,2,3,4,5,6,7,8,9},A33&amp;"0123456789")), FIND(" ",A33&amp;" ",MIN(FIND({0,1,2,3,4,5,6,7,8,9},A33&amp;"0123456789")))-MIN(FIND({0,1,2,3,4,5,6,7,8,9},A33&amp;"0123456789")))), 1)</f>
        <v>1</v>
      </c>
    </row>
    <row r="34" spans="1:3" x14ac:dyDescent="0.4">
      <c r="A34" t="str">
        <f ca="1"/>
        <v>if</v>
      </c>
      <c r="B34" s="4">
        <f ca="1"/>
        <v>1.8399139257928887</v>
      </c>
      <c r="C34" cm="1">
        <f t="array" aca="1" ref="C34" ca="1">IFERROR(VALUE(MID(A34,MIN(FIND({0,1,2,3,4,5,6,7,8,9},A34&amp;"0123456789")), FIND(" ",A34&amp;" ",MIN(FIND({0,1,2,3,4,5,6,7,8,9},A34&amp;"0123456789")))-MIN(FIND({0,1,2,3,4,5,6,7,8,9},A34&amp;"0123456789")))), 1)</f>
        <v>1</v>
      </c>
    </row>
    <row r="35" spans="1:3" x14ac:dyDescent="0.4">
      <c r="A35" t="str">
        <f ca="1"/>
        <v>if else</v>
      </c>
      <c r="B35" s="4">
        <f ca="1"/>
        <v>4.872677246901044</v>
      </c>
      <c r="C35" cm="1">
        <f t="array" aca="1" ref="C35" ca="1">IFERROR(VALUE(MID(A35,MIN(FIND({0,1,2,3,4,5,6,7,8,9},A35&amp;"0123456789")), FIND(" ",A35&amp;" ",MIN(FIND({0,1,2,3,4,5,6,7,8,9},A35&amp;"0123456789")))-MIN(FIND({0,1,2,3,4,5,6,7,8,9},A35&amp;"0123456789")))), 1)</f>
        <v>1</v>
      </c>
    </row>
    <row r="36" spans="1:3" x14ac:dyDescent="0.4">
      <c r="A36" t="str">
        <f ca="1"/>
        <v>wait until</v>
      </c>
      <c r="B36" s="4">
        <f ca="1"/>
        <v>2.644524602821583</v>
      </c>
      <c r="C36" cm="1">
        <f t="array" aca="1" ref="C36" ca="1">IFERROR(VALUE(MID(A36,MIN(FIND({0,1,2,3,4,5,6,7,8,9},A36&amp;"0123456789")), FIND(" ",A36&amp;" ",MIN(FIND({0,1,2,3,4,5,6,7,8,9},A36&amp;"0123456789")))-MIN(FIND({0,1,2,3,4,5,6,7,8,9},A36&amp;"0123456789")))), 1)</f>
        <v>1</v>
      </c>
    </row>
    <row r="37" spans="1:3" x14ac:dyDescent="0.4">
      <c r="A37" t="str">
        <f ca="1"/>
        <v>repeat until</v>
      </c>
      <c r="B37" s="4">
        <f ca="1"/>
        <v>2.7767508329626618</v>
      </c>
      <c r="C37" cm="1">
        <f t="array" aca="1" ref="C37" ca="1">IFERROR(VALUE(MID(A37,MIN(FIND({0,1,2,3,4,5,6,7,8,9},A37&amp;"0123456789")), FIND(" ",A37&amp;" ",MIN(FIND({0,1,2,3,4,5,6,7,8,9},A37&amp;"0123456789")))-MIN(FIND({0,1,2,3,4,5,6,7,8,9},A37&amp;"0123456789")))), 1)</f>
        <v>1</v>
      </c>
    </row>
    <row r="38" spans="1:3" x14ac:dyDescent="0.4">
      <c r="A38" t="str">
        <f ca="1"/>
        <v>create clone</v>
      </c>
      <c r="B38" s="4">
        <f ca="1"/>
        <v>78.99656912084113</v>
      </c>
      <c r="C38" cm="1">
        <f t="array" aca="1" ref="C38" ca="1">IFERROR(VALUE(MID(A38,MIN(FIND({0,1,2,3,4,5,6,7,8,9},A38&amp;"0123456789")), FIND(" ",A38&amp;" ",MIN(FIND({0,1,2,3,4,5,6,7,8,9},A38&amp;"0123456789")))-MIN(FIND({0,1,2,3,4,5,6,7,8,9},A38&amp;"0123456789")))), 1)</f>
        <v>1</v>
      </c>
    </row>
    <row r="39" spans="1:3" x14ac:dyDescent="0.4">
      <c r="A39" t="str">
        <f ca="1"/>
        <v>touching mouse pointer</v>
      </c>
      <c r="B39" s="4">
        <f ca="1"/>
        <v>17.40288318755626</v>
      </c>
      <c r="C39" cm="1">
        <f t="array" aca="1" ref="C39" ca="1">IFERROR(VALUE(MID(A39,MIN(FIND({0,1,2,3,4,5,6,7,8,9},A39&amp;"0123456789")), FIND(" ",A39&amp;" ",MIN(FIND({0,1,2,3,4,5,6,7,8,9},A39&amp;"0123456789")))-MIN(FIND({0,1,2,3,4,5,6,7,8,9},A39&amp;"0123456789")))), 1)</f>
        <v>1</v>
      </c>
    </row>
    <row r="40" spans="1:3" x14ac:dyDescent="0.4">
      <c r="A40" t="str">
        <f ca="1"/>
        <v>touching sprite</v>
      </c>
      <c r="B40" s="4">
        <f ca="1"/>
        <v>11.14726858480469</v>
      </c>
      <c r="C40" cm="1">
        <f t="array" aca="1" ref="C40" ca="1">IFERROR(VALUE(MID(A40,MIN(FIND({0,1,2,3,4,5,6,7,8,9},A40&amp;"0123456789")), FIND(" ",A40&amp;" ",MIN(FIND({0,1,2,3,4,5,6,7,8,9},A40&amp;"0123456789")))-MIN(FIND({0,1,2,3,4,5,6,7,8,9},A40&amp;"0123456789")))), 1)</f>
        <v>1</v>
      </c>
    </row>
    <row r="41" spans="1:3" x14ac:dyDescent="0.4">
      <c r="A41" t="str">
        <f ca="1"/>
        <v>touching edge</v>
      </c>
      <c r="B41" s="4">
        <f ca="1"/>
        <v>13.404619975475429</v>
      </c>
      <c r="C41" cm="1">
        <f t="array" aca="1" ref="C41" ca="1">IFERROR(VALUE(MID(A41,MIN(FIND({0,1,2,3,4,5,6,7,8,9},A41&amp;"0123456789")), FIND(" ",A41&amp;" ",MIN(FIND({0,1,2,3,4,5,6,7,8,9},A41&amp;"0123456789")))-MIN(FIND({0,1,2,3,4,5,6,7,8,9},A41&amp;"0123456789")))), 1)</f>
        <v>1</v>
      </c>
    </row>
    <row r="42" spans="1:3" x14ac:dyDescent="0.4">
      <c r="A42" t="str">
        <f ca="1"/>
        <v>key pressed?</v>
      </c>
      <c r="B42" s="4">
        <f ca="1"/>
        <v>0.81781424764145938</v>
      </c>
      <c r="C42" cm="1">
        <f t="array" aca="1" ref="C42" ca="1">IFERROR(VALUE(MID(A42,MIN(FIND({0,1,2,3,4,5,6,7,8,9},A42&amp;"0123456789")), FIND(" ",A42&amp;" ",MIN(FIND({0,1,2,3,4,5,6,7,8,9},A42&amp;"0123456789")))-MIN(FIND({0,1,2,3,4,5,6,7,8,9},A42&amp;"0123456789")))), 1)</f>
        <v>1</v>
      </c>
    </row>
    <row r="43" spans="1:3" x14ac:dyDescent="0.4">
      <c r="A43" t="str">
        <f ca="1"/>
        <v>mouse down</v>
      </c>
      <c r="B43" s="4">
        <f ca="1"/>
        <v>0.52213767782085707</v>
      </c>
      <c r="C43" cm="1">
        <f t="array" aca="1" ref="C43" ca="1">IFERROR(VALUE(MID(A43,MIN(FIND({0,1,2,3,4,5,6,7,8,9},A43&amp;"0123456789")), FIND(" ",A43&amp;" ",MIN(FIND({0,1,2,3,4,5,6,7,8,9},A43&amp;"0123456789")))-MIN(FIND({0,1,2,3,4,5,6,7,8,9},A43&amp;"0123456789")))), 1)</f>
        <v>1</v>
      </c>
    </row>
    <row r="44" spans="1:3" x14ac:dyDescent="0.4">
      <c r="A44" t="str">
        <f ca="1"/>
        <v>distance to mouse</v>
      </c>
      <c r="B44" s="4">
        <f ca="1"/>
        <v>1.9561027462557505</v>
      </c>
      <c r="C44" cm="1">
        <f t="array" aca="1" ref="C44" ca="1">IFERROR(VALUE(MID(A44,MIN(FIND({0,1,2,3,4,5,6,7,8,9},A44&amp;"0123456789")), FIND(" ",A44&amp;" ",MIN(FIND({0,1,2,3,4,5,6,7,8,9},A44&amp;"0123456789")))-MIN(FIND({0,1,2,3,4,5,6,7,8,9},A44&amp;"0123456789")))), 1)</f>
        <v>1</v>
      </c>
    </row>
    <row r="45" spans="1:3" x14ac:dyDescent="0.4">
      <c r="A45" t="str">
        <f ca="1"/>
        <v>distance to sprite</v>
      </c>
      <c r="B45" s="4">
        <f ca="1"/>
        <v>2.9213607858494646</v>
      </c>
      <c r="C45" cm="1">
        <f t="array" aca="1" ref="C45" ca="1">IFERROR(VALUE(MID(A45,MIN(FIND({0,1,2,3,4,5,6,7,8,9},A45&amp;"0123456789")), FIND(" ",A45&amp;" ",MIN(FIND({0,1,2,3,4,5,6,7,8,9},A45&amp;"0123456789")))-MIN(FIND({0,1,2,3,4,5,6,7,8,9},A45&amp;"0123456789")))), 1)</f>
        <v>1</v>
      </c>
    </row>
    <row r="46" spans="1:3" x14ac:dyDescent="0.4">
      <c r="A46" t="str">
        <f ca="1"/>
        <v>mouse x</v>
      </c>
      <c r="B46" s="4">
        <f ca="1"/>
        <v>0.65141330812358667</v>
      </c>
      <c r="C46" cm="1">
        <f t="array" aca="1" ref="C46" ca="1">IFERROR(VALUE(MID(A46,MIN(FIND({0,1,2,3,4,5,6,7,8,9},A46&amp;"0123456789")), FIND(" ",A46&amp;" ",MIN(FIND({0,1,2,3,4,5,6,7,8,9},A46&amp;"0123456789")))-MIN(FIND({0,1,2,3,4,5,6,7,8,9},A46&amp;"0123456789")))), 1)</f>
        <v>1</v>
      </c>
    </row>
    <row r="47" spans="1:3" x14ac:dyDescent="0.4">
      <c r="A47" t="str">
        <f ca="1"/>
        <v>loudness</v>
      </c>
      <c r="B47" s="4">
        <f ca="1"/>
        <v>0.630861797665204</v>
      </c>
      <c r="C47" cm="1">
        <f t="array" aca="1" ref="C47" ca="1">IFERROR(VALUE(MID(A47,MIN(FIND({0,1,2,3,4,5,6,7,8,9},A47&amp;"0123456789")), FIND(" ",A47&amp;" ",MIN(FIND({0,1,2,3,4,5,6,7,8,9},A47&amp;"0123456789")))-MIN(FIND({0,1,2,3,4,5,6,7,8,9},A47&amp;"0123456789")))), 1)</f>
        <v>1</v>
      </c>
    </row>
    <row r="48" spans="1:3" x14ac:dyDescent="0.4">
      <c r="A48" t="str">
        <f ca="1"/>
        <v>timer</v>
      </c>
      <c r="B48" s="4">
        <f ca="1"/>
        <v>0.64412083667061193</v>
      </c>
      <c r="C48" cm="1">
        <f t="array" aca="1" ref="C48" ca="1">IFERROR(VALUE(MID(A48,MIN(FIND({0,1,2,3,4,5,6,7,8,9},A48&amp;"0123456789")), FIND(" ",A48&amp;" ",MIN(FIND({0,1,2,3,4,5,6,7,8,9},A48&amp;"0123456789")))-MIN(FIND({0,1,2,3,4,5,6,7,8,9},A48&amp;"0123456789")))), 1)</f>
        <v>1</v>
      </c>
    </row>
    <row r="49" spans="1:3" x14ac:dyDescent="0.4">
      <c r="A49" t="str">
        <f ca="1"/>
        <v>backdrop of</v>
      </c>
      <c r="B49" s="4">
        <f ca="1"/>
        <v>0.44324639573867874</v>
      </c>
      <c r="C49" cm="1">
        <f t="array" aca="1" ref="C49" ca="1">IFERROR(VALUE(MID(A49,MIN(FIND({0,1,2,3,4,5,6,7,8,9},A49&amp;"0123456789")), FIND(" ",A49&amp;" ",MIN(FIND({0,1,2,3,4,5,6,7,8,9},A49&amp;"0123456789")))-MIN(FIND({0,1,2,3,4,5,6,7,8,9},A49&amp;"0123456789")))), 1)</f>
        <v>1</v>
      </c>
    </row>
    <row r="50" spans="1:3" x14ac:dyDescent="0.4">
      <c r="A50" t="str">
        <f ca="1"/>
        <v>current second</v>
      </c>
      <c r="B50" s="4">
        <f ca="1"/>
        <v>5.07462872032775</v>
      </c>
      <c r="C50" cm="1">
        <f t="array" aca="1" ref="C50" ca="1">IFERROR(VALUE(MID(A50,MIN(FIND({0,1,2,3,4,5,6,7,8,9},A50&amp;"0123456789")), FIND(" ",A50&amp;" ",MIN(FIND({0,1,2,3,4,5,6,7,8,9},A50&amp;"0123456789")))-MIN(FIND({0,1,2,3,4,5,6,7,8,9},A50&amp;"0123456789")))), 1)</f>
        <v>1</v>
      </c>
    </row>
    <row r="51" spans="1:3" x14ac:dyDescent="0.4">
      <c r="A51" t="str">
        <f ca="1"/>
        <v>days since 2000</v>
      </c>
      <c r="B51" s="4">
        <f ca="1"/>
        <v>11.390571950553932</v>
      </c>
      <c r="C51" cm="1">
        <f t="array" aca="1" ref="C51" ca="1">IFERROR(VALUE(MID(A51,MIN(FIND({0,1,2,3,4,5,6,7,8,9},A51&amp;"0123456789")), FIND(" ",A51&amp;" ",MIN(FIND({0,1,2,3,4,5,6,7,8,9},A51&amp;"0123456789")))-MIN(FIND({0,1,2,3,4,5,6,7,8,9},A51&amp;"0123456789")))), 1)</f>
        <v>2000</v>
      </c>
    </row>
    <row r="52" spans="1:3" x14ac:dyDescent="0.4">
      <c r="A52" t="str">
        <f ca="1"/>
        <v>username</v>
      </c>
      <c r="B52" s="4">
        <f ca="1"/>
        <v>1.1108390096609804</v>
      </c>
      <c r="C52" cm="1">
        <f t="array" aca="1" ref="C52" ca="1">IFERROR(VALUE(MID(A52,MIN(FIND({0,1,2,3,4,5,6,7,8,9},A52&amp;"0123456789")), FIND(" ",A52&amp;" ",MIN(FIND({0,1,2,3,4,5,6,7,8,9},A52&amp;"0123456789")))-MIN(FIND({0,1,2,3,4,5,6,7,8,9},A52&amp;"0123456789")))), 1)</f>
        <v>1</v>
      </c>
    </row>
    <row r="53" spans="1:3" x14ac:dyDescent="0.4">
      <c r="A53" t="str">
        <f ca="1"/>
        <v>set drag mode</v>
      </c>
      <c r="B53" s="4">
        <f ca="1"/>
        <v>2.9092190694732518</v>
      </c>
      <c r="C53" cm="1">
        <f t="array" aca="1" ref="C53" ca="1">IFERROR(VALUE(MID(A53,MIN(FIND({0,1,2,3,4,5,6,7,8,9},A53&amp;"0123456789")), FIND(" ",A53&amp;" ",MIN(FIND({0,1,2,3,4,5,6,7,8,9},A53&amp;"0123456789")))-MIN(FIND({0,1,2,3,4,5,6,7,8,9},A53&amp;"0123456789")))), 1)</f>
        <v>1</v>
      </c>
    </row>
    <row r="54" spans="1:3" x14ac:dyDescent="0.4">
      <c r="A54" t="str">
        <f ca="1"/>
        <v>reset timer</v>
      </c>
      <c r="B54" s="4">
        <f ca="1"/>
        <v>3.0324910639424574</v>
      </c>
      <c r="C54" cm="1">
        <f t="array" aca="1" ref="C54" ca="1">IFERROR(VALUE(MID(A54,MIN(FIND({0,1,2,3,4,5,6,7,8,9},A54&amp;"0123456789")), FIND(" ",A54&amp;" ",MIN(FIND({0,1,2,3,4,5,6,7,8,9},A54&amp;"0123456789")))-MIN(FIND({0,1,2,3,4,5,6,7,8,9},A54&amp;"0123456789")))), 1)</f>
        <v>1</v>
      </c>
    </row>
    <row r="55" spans="1:3" x14ac:dyDescent="0.4">
      <c r="A55" t="str">
        <f ca="1"/>
        <v>touching colour</v>
      </c>
      <c r="B55" s="4">
        <f ca="1"/>
        <v>10422.682352941179</v>
      </c>
      <c r="C55" cm="1">
        <f t="array" aca="1" ref="C55" ca="1">IFERROR(VALUE(MID(A55,MIN(FIND({0,1,2,3,4,5,6,7,8,9},A55&amp;"0123456789")), FIND(" ",A55&amp;" ",MIN(FIND({0,1,2,3,4,5,6,7,8,9},A55&amp;"0123456789")))-MIN(FIND({0,1,2,3,4,5,6,7,8,9},A55&amp;"0123456789")))), 1)</f>
        <v>1</v>
      </c>
    </row>
    <row r="56" spans="1:3" x14ac:dyDescent="0.4">
      <c r="A56" t="str">
        <f ca="1"/>
        <v>colour is touching</v>
      </c>
      <c r="B56" s="4">
        <f ca="1"/>
        <v>5993.4608907128741</v>
      </c>
      <c r="C56" cm="1">
        <f t="array" aca="1" ref="C56" ca="1">IFERROR(VALUE(MID(A56,MIN(FIND({0,1,2,3,4,5,6,7,8,9},A56&amp;"0123456789")), FIND(" ",A56&amp;" ",MIN(FIND({0,1,2,3,4,5,6,7,8,9},A56&amp;"0123456789")))-MIN(FIND({0,1,2,3,4,5,6,7,8,9},A56&amp;"0123456789")))), 1)</f>
        <v>1</v>
      </c>
    </row>
    <row r="57" spans="1:3" x14ac:dyDescent="0.4">
      <c r="A57" t="str">
        <f ca="1"/>
        <v>+</v>
      </c>
      <c r="B57" s="4">
        <f ca="1"/>
        <v>0.97930916552667591</v>
      </c>
      <c r="C57" cm="1">
        <f t="array" aca="1" ref="C57" ca="1">IFERROR(VALUE(MID(A57,MIN(FIND({0,1,2,3,4,5,6,7,8,9},A57&amp;"0123456789")), FIND(" ",A57&amp;" ",MIN(FIND({0,1,2,3,4,5,6,7,8,9},A57&amp;"0123456789")))-MIN(FIND({0,1,2,3,4,5,6,7,8,9},A57&amp;"0123456789")))), 1)</f>
        <v>1</v>
      </c>
    </row>
    <row r="58" spans="1:3" x14ac:dyDescent="0.4">
      <c r="A58" t="str">
        <f ca="1"/>
        <v>-</v>
      </c>
      <c r="B58" s="4">
        <f ca="1"/>
        <v>1</v>
      </c>
      <c r="C58" cm="1">
        <f t="array" aca="1" ref="C58" ca="1">IFERROR(VALUE(MID(A58,MIN(FIND({0,1,2,3,4,5,6,7,8,9},A58&amp;"0123456789")), FIND(" ",A58&amp;" ",MIN(FIND({0,1,2,3,4,5,6,7,8,9},A58&amp;"0123456789")))-MIN(FIND({0,1,2,3,4,5,6,7,8,9},A58&amp;"0123456789")))), 1)</f>
        <v>1</v>
      </c>
    </row>
    <row r="59" spans="1:3" x14ac:dyDescent="0.4">
      <c r="A59" t="str">
        <f ca="1"/>
        <v>mult</v>
      </c>
      <c r="B59" s="4">
        <f ca="1"/>
        <v>1.0395006839945282</v>
      </c>
      <c r="C59" cm="1">
        <f t="array" aca="1" ref="C59" ca="1">IFERROR(VALUE(MID(A59,MIN(FIND({0,1,2,3,4,5,6,7,8,9},A59&amp;"0123456789")), FIND(" ",A59&amp;" ",MIN(FIND({0,1,2,3,4,5,6,7,8,9},A59&amp;"0123456789")))-MIN(FIND({0,1,2,3,4,5,6,7,8,9},A59&amp;"0123456789")))), 1)</f>
        <v>1</v>
      </c>
    </row>
    <row r="60" spans="1:3" x14ac:dyDescent="0.4">
      <c r="A60" t="str">
        <f ca="1"/>
        <v>/</v>
      </c>
      <c r="B60" s="4">
        <f ca="1"/>
        <v>1.0224008207934339</v>
      </c>
      <c r="C60" cm="1">
        <f t="array" aca="1" ref="C60" ca="1">IFERROR(VALUE(MID(A60,MIN(FIND({0,1,2,3,4,5,6,7,8,9},A60&amp;"0123456789")), FIND(" ",A60&amp;" ",MIN(FIND({0,1,2,3,4,5,6,7,8,9},A60&amp;"0123456789")))-MIN(FIND({0,1,2,3,4,5,6,7,8,9},A60&amp;"0123456789")))), 1)</f>
        <v>1</v>
      </c>
    </row>
    <row r="61" spans="1:3" x14ac:dyDescent="0.4">
      <c r="A61" t="str">
        <f ca="1"/>
        <v>pick random (float)</v>
      </c>
      <c r="B61" s="4">
        <f ca="1"/>
        <v>1.2669288645690837</v>
      </c>
      <c r="C61" cm="1">
        <f t="array" aca="1" ref="C61" ca="1">IFERROR(VALUE(MID(A61,MIN(FIND({0,1,2,3,4,5,6,7,8,9},A61&amp;"0123456789")), FIND(" ",A61&amp;" ",MIN(FIND({0,1,2,3,4,5,6,7,8,9},A61&amp;"0123456789")))-MIN(FIND({0,1,2,3,4,5,6,7,8,9},A61&amp;"0123456789")))), 1)</f>
        <v>1</v>
      </c>
    </row>
    <row r="62" spans="1:3" x14ac:dyDescent="0.4">
      <c r="A62" t="str">
        <f ca="1"/>
        <v>pick random (int)</v>
      </c>
      <c r="B62" s="4">
        <f ca="1"/>
        <v>3.2421340629274971</v>
      </c>
      <c r="C62" cm="1">
        <f t="array" aca="1" ref="C62" ca="1">IFERROR(VALUE(MID(A62,MIN(FIND({0,1,2,3,4,5,6,7,8,9},A62&amp;"0123456789")), FIND(" ",A62&amp;" ",MIN(FIND({0,1,2,3,4,5,6,7,8,9},A62&amp;"0123456789")))-MIN(FIND({0,1,2,3,4,5,6,7,8,9},A62&amp;"0123456789")))), 1)</f>
        <v>1</v>
      </c>
    </row>
    <row r="63" spans="1:3" x14ac:dyDescent="0.4">
      <c r="A63" t="str">
        <f ca="1"/>
        <v>&gt;</v>
      </c>
      <c r="B63" s="4">
        <f ca="1"/>
        <v>1.0049589603283176</v>
      </c>
      <c r="C63" cm="1">
        <f t="array" aca="1" ref="C63" ca="1">IFERROR(VALUE(MID(A63,MIN(FIND({0,1,2,3,4,5,6,7,8,9},A63&amp;"0123456789")), FIND(" ",A63&amp;" ",MIN(FIND({0,1,2,3,4,5,6,7,8,9},A63&amp;"0123456789")))-MIN(FIND({0,1,2,3,4,5,6,7,8,9},A63&amp;"0123456789")))), 1)</f>
        <v>1</v>
      </c>
    </row>
    <row r="64" spans="1:3" x14ac:dyDescent="0.4">
      <c r="A64" t="str">
        <f ca="1"/>
        <v>&lt;</v>
      </c>
      <c r="B64" s="4">
        <f ca="1"/>
        <v>0.9546853625170999</v>
      </c>
      <c r="C64" cm="1">
        <f t="array" aca="1" ref="C64" ca="1">IFERROR(VALUE(MID(A64,MIN(FIND({0,1,2,3,4,5,6,7,8,9},A64&amp;"0123456789")), FIND(" ",A64&amp;" ",MIN(FIND({0,1,2,3,4,5,6,7,8,9},A64&amp;"0123456789")))-MIN(FIND({0,1,2,3,4,5,6,7,8,9},A64&amp;"0123456789")))), 1)</f>
        <v>1</v>
      </c>
    </row>
    <row r="65" spans="1:3" x14ac:dyDescent="0.4">
      <c r="A65" t="str">
        <f ca="1"/>
        <v>=</v>
      </c>
      <c r="B65" s="4">
        <f ca="1"/>
        <v>1.0066689466484271</v>
      </c>
      <c r="C65" cm="1">
        <f t="array" aca="1" ref="C65" ca="1">IFERROR(VALUE(MID(A65,MIN(FIND({0,1,2,3,4,5,6,7,8,9},A65&amp;"0123456789")), FIND(" ",A65&amp;" ",MIN(FIND({0,1,2,3,4,5,6,7,8,9},A65&amp;"0123456789")))-MIN(FIND({0,1,2,3,4,5,6,7,8,9},A65&amp;"0123456789")))), 1)</f>
        <v>1</v>
      </c>
    </row>
    <row r="66" spans="1:3" x14ac:dyDescent="0.4">
      <c r="A66" t="str">
        <f ca="1"/>
        <v>and</v>
      </c>
      <c r="B66" s="4">
        <f ca="1"/>
        <v>0.45639534883720939</v>
      </c>
      <c r="C66" cm="1">
        <f t="array" aca="1" ref="C66" ca="1">IFERROR(VALUE(MID(A66,MIN(FIND({0,1,2,3,4,5,6,7,8,9},A66&amp;"0123456789")), FIND(" ",A66&amp;" ",MIN(FIND({0,1,2,3,4,5,6,7,8,9},A66&amp;"0123456789")))-MIN(FIND({0,1,2,3,4,5,6,7,8,9},A66&amp;"0123456789")))), 1)</f>
        <v>1</v>
      </c>
    </row>
    <row r="67" spans="1:3" x14ac:dyDescent="0.4">
      <c r="A67" t="str">
        <f ca="1"/>
        <v>or</v>
      </c>
      <c r="B67" s="4">
        <f ca="1"/>
        <v>0.49846101231190143</v>
      </c>
      <c r="C67" cm="1">
        <f t="array" aca="1" ref="C67" ca="1">IFERROR(VALUE(MID(A67,MIN(FIND({0,1,2,3,4,5,6,7,8,9},A67&amp;"0123456789")), FIND(" ",A67&amp;" ",MIN(FIND({0,1,2,3,4,5,6,7,8,9},A67&amp;"0123456789")))-MIN(FIND({0,1,2,3,4,5,6,7,8,9},A67&amp;"0123456789")))), 1)</f>
        <v>1</v>
      </c>
    </row>
    <row r="68" spans="1:3" x14ac:dyDescent="0.4">
      <c r="A68" t="str">
        <f ca="1"/>
        <v>not</v>
      </c>
      <c r="B68" s="4">
        <f ca="1"/>
        <v>0.42664158686730497</v>
      </c>
      <c r="C68" cm="1">
        <f t="array" aca="1" ref="C68" ca="1">IFERROR(VALUE(MID(A68,MIN(FIND({0,1,2,3,4,5,6,7,8,9},A68&amp;"0123456789")), FIND(" ",A68&amp;" ",MIN(FIND({0,1,2,3,4,5,6,7,8,9},A68&amp;"0123456789")))-MIN(FIND({0,1,2,3,4,5,6,7,8,9},A68&amp;"0123456789")))), 1)</f>
        <v>1</v>
      </c>
    </row>
    <row r="69" spans="1:3" x14ac:dyDescent="0.4">
      <c r="A69" t="str">
        <f ca="1"/>
        <v>join</v>
      </c>
      <c r="B69" s="4">
        <f ca="1"/>
        <v>0.71220930232558144</v>
      </c>
      <c r="C69" cm="1">
        <f t="array" aca="1" ref="C69" ca="1">IFERROR(VALUE(MID(A69,MIN(FIND({0,1,2,3,4,5,6,7,8,9},A69&amp;"0123456789")), FIND(" ",A69&amp;" ",MIN(FIND({0,1,2,3,4,5,6,7,8,9},A69&amp;"0123456789")))-MIN(FIND({0,1,2,3,4,5,6,7,8,9},A69&amp;"0123456789")))), 1)</f>
        <v>1</v>
      </c>
    </row>
    <row r="70" spans="1:3" x14ac:dyDescent="0.4">
      <c r="A70" t="str">
        <f ca="1"/>
        <v>letter of</v>
      </c>
      <c r="B70" s="4">
        <f ca="1"/>
        <v>0.59165526675786584</v>
      </c>
      <c r="C70" cm="1">
        <f t="array" aca="1" ref="C70" ca="1">IFERROR(VALUE(MID(A70,MIN(FIND({0,1,2,3,4,5,6,7,8,9},A70&amp;"0123456789")), FIND(" ",A70&amp;" ",MIN(FIND({0,1,2,3,4,5,6,7,8,9},A70&amp;"0123456789")))-MIN(FIND({0,1,2,3,4,5,6,7,8,9},A70&amp;"0123456789")))), 1)</f>
        <v>1</v>
      </c>
    </row>
    <row r="71" spans="1:3" x14ac:dyDescent="0.4">
      <c r="A71" t="str">
        <f ca="1"/>
        <v>length of</v>
      </c>
      <c r="B71" s="4">
        <f ca="1"/>
        <v>0.530437756497948</v>
      </c>
      <c r="C71" cm="1">
        <f t="array" aca="1" ref="C71" ca="1">IFERROR(VALUE(MID(A71,MIN(FIND({0,1,2,3,4,5,6,7,8,9},A71&amp;"0123456789")), FIND(" ",A71&amp;" ",MIN(FIND({0,1,2,3,4,5,6,7,8,9},A71&amp;"0123456789")))-MIN(FIND({0,1,2,3,4,5,6,7,8,9},A71&amp;"0123456789")))), 1)</f>
        <v>1</v>
      </c>
    </row>
    <row r="72" spans="1:3" x14ac:dyDescent="0.4">
      <c r="A72" t="str">
        <f ca="1"/>
        <v>string contains</v>
      </c>
      <c r="B72" s="4">
        <f ca="1"/>
        <v>0.90235978112175119</v>
      </c>
      <c r="C72" cm="1">
        <f t="array" aca="1" ref="C72" ca="1">IFERROR(VALUE(MID(A72,MIN(FIND({0,1,2,3,4,5,6,7,8,9},A72&amp;"0123456789")), FIND(" ",A72&amp;" ",MIN(FIND({0,1,2,3,4,5,6,7,8,9},A72&amp;"0123456789")))-MIN(FIND({0,1,2,3,4,5,6,7,8,9},A72&amp;"0123456789")))), 1)</f>
        <v>1</v>
      </c>
    </row>
    <row r="73" spans="1:3" x14ac:dyDescent="0.4">
      <c r="A73" t="str">
        <f ca="1"/>
        <v>mod</v>
      </c>
      <c r="B73" s="4">
        <f ca="1"/>
        <v>1.3565321477428181</v>
      </c>
      <c r="C73" cm="1">
        <f t="array" aca="1" ref="C73" ca="1">IFERROR(VALUE(MID(A73,MIN(FIND({0,1,2,3,4,5,6,7,8,9},A73&amp;"0123456789")), FIND(" ",A73&amp;" ",MIN(FIND({0,1,2,3,4,5,6,7,8,9},A73&amp;"0123456789")))-MIN(FIND({0,1,2,3,4,5,6,7,8,9},A73&amp;"0123456789")))), 1)</f>
        <v>1</v>
      </c>
    </row>
    <row r="74" spans="1:3" x14ac:dyDescent="0.4">
      <c r="A74" t="str">
        <f ca="1"/>
        <v>round</v>
      </c>
      <c r="B74" s="4">
        <f ca="1"/>
        <v>0.51282489740082093</v>
      </c>
      <c r="C74" cm="1">
        <f t="array" aca="1" ref="C74" ca="1">IFERROR(VALUE(MID(A74,MIN(FIND({0,1,2,3,4,5,6,7,8,9},A74&amp;"0123456789")), FIND(" ",A74&amp;" ",MIN(FIND({0,1,2,3,4,5,6,7,8,9},A74&amp;"0123456789")))-MIN(FIND({0,1,2,3,4,5,6,7,8,9},A74&amp;"0123456789")))), 1)</f>
        <v>1</v>
      </c>
    </row>
    <row r="75" spans="1:3" x14ac:dyDescent="0.4">
      <c r="A75" t="str">
        <f ca="1"/>
        <v>abs</v>
      </c>
      <c r="B75" s="4">
        <f ca="1"/>
        <v>0.79565663474692205</v>
      </c>
      <c r="C75" cm="1">
        <f t="array" aca="1" ref="C75" ca="1">IFERROR(VALUE(MID(A75,MIN(FIND({0,1,2,3,4,5,6,7,8,9},A75&amp;"0123456789")), FIND(" ",A75&amp;" ",MIN(FIND({0,1,2,3,4,5,6,7,8,9},A75&amp;"0123456789")))-MIN(FIND({0,1,2,3,4,5,6,7,8,9},A75&amp;"0123456789")))), 1)</f>
        <v>1</v>
      </c>
    </row>
    <row r="76" spans="1:3" x14ac:dyDescent="0.4">
      <c r="A76" t="str">
        <f ca="1"/>
        <v>floor</v>
      </c>
      <c r="B76" s="4">
        <f ca="1"/>
        <v>0.70383036935704513</v>
      </c>
      <c r="C76" cm="1">
        <f t="array" aca="1" ref="C76" ca="1">IFERROR(VALUE(MID(A76,MIN(FIND({0,1,2,3,4,5,6,7,8,9},A76&amp;"0123456789")), FIND(" ",A76&amp;" ",MIN(FIND({0,1,2,3,4,5,6,7,8,9},A76&amp;"0123456789")))-MIN(FIND({0,1,2,3,4,5,6,7,8,9},A76&amp;"0123456789")))), 1)</f>
        <v>1</v>
      </c>
    </row>
    <row r="77" spans="1:3" x14ac:dyDescent="0.4">
      <c r="A77" t="str">
        <f ca="1"/>
        <v>ceiling</v>
      </c>
      <c r="B77" s="4">
        <f ca="1"/>
        <v>0.76145690834473334</v>
      </c>
      <c r="C77" cm="1">
        <f t="array" aca="1" ref="C77" ca="1">IFERROR(VALUE(MID(A77,MIN(FIND({0,1,2,3,4,5,6,7,8,9},A77&amp;"0123456789")), FIND(" ",A77&amp;" ",MIN(FIND({0,1,2,3,4,5,6,7,8,9},A77&amp;"0123456789")))-MIN(FIND({0,1,2,3,4,5,6,7,8,9},A77&amp;"0123456789")))), 1)</f>
        <v>1</v>
      </c>
    </row>
    <row r="78" spans="1:3" x14ac:dyDescent="0.4">
      <c r="A78" t="str">
        <f ca="1"/>
        <v>sqrt</v>
      </c>
      <c r="B78" s="4">
        <f ca="1"/>
        <v>0.77513679890560883</v>
      </c>
      <c r="C78" cm="1">
        <f t="array" aca="1" ref="C78" ca="1">IFERROR(VALUE(MID(A78,MIN(FIND({0,1,2,3,4,5,6,7,8,9},A78&amp;"0123456789")), FIND(" ",A78&amp;" ",MIN(FIND({0,1,2,3,4,5,6,7,8,9},A78&amp;"0123456789")))-MIN(FIND({0,1,2,3,4,5,6,7,8,9},A78&amp;"0123456789")))), 1)</f>
        <v>1</v>
      </c>
    </row>
    <row r="79" spans="1:3" x14ac:dyDescent="0.4">
      <c r="A79" t="str">
        <f ca="1"/>
        <v>sin</v>
      </c>
      <c r="B79" s="4">
        <f ca="1"/>
        <v>2.51453488372093</v>
      </c>
      <c r="C79" cm="1">
        <f t="array" aca="1" ref="C79" ca="1">IFERROR(VALUE(MID(A79,MIN(FIND({0,1,2,3,4,5,6,7,8,9},A79&amp;"0123456789")), FIND(" ",A79&amp;" ",MIN(FIND({0,1,2,3,4,5,6,7,8,9},A79&amp;"0123456789")))-MIN(FIND({0,1,2,3,4,5,6,7,8,9},A79&amp;"0123456789")))), 1)</f>
        <v>1</v>
      </c>
    </row>
    <row r="80" spans="1:3" x14ac:dyDescent="0.4">
      <c r="A80" t="str">
        <f ca="1"/>
        <v>cos</v>
      </c>
      <c r="B80" s="4">
        <f ca="1"/>
        <v>2.7676128590971274</v>
      </c>
      <c r="C80" cm="1">
        <f t="array" aca="1" ref="C80" ca="1">IFERROR(VALUE(MID(A80,MIN(FIND({0,1,2,3,4,5,6,7,8,9},A80&amp;"0123456789")), FIND(" ",A80&amp;" ",MIN(FIND({0,1,2,3,4,5,6,7,8,9},A80&amp;"0123456789")))-MIN(FIND({0,1,2,3,4,5,6,7,8,9},A80&amp;"0123456789")))), 1)</f>
        <v>1</v>
      </c>
    </row>
    <row r="81" spans="1:3" x14ac:dyDescent="0.4">
      <c r="A81" t="str">
        <f ca="1"/>
        <v>tan</v>
      </c>
      <c r="B81" s="4">
        <f ca="1"/>
        <v>2.9345075239398088</v>
      </c>
      <c r="C81" cm="1">
        <f t="array" aca="1" ref="C81" ca="1">IFERROR(VALUE(MID(A81,MIN(FIND({0,1,2,3,4,5,6,7,8,9},A81&amp;"0123456789")), FIND(" ",A81&amp;" ",MIN(FIND({0,1,2,3,4,5,6,7,8,9},A81&amp;"0123456789")))-MIN(FIND({0,1,2,3,4,5,6,7,8,9},A81&amp;"0123456789")))), 1)</f>
        <v>1</v>
      </c>
    </row>
    <row r="82" spans="1:3" x14ac:dyDescent="0.4">
      <c r="A82" t="str">
        <f ca="1"/>
        <v>asin</v>
      </c>
      <c r="B82" s="4">
        <f ca="1"/>
        <v>0.78095075239398082</v>
      </c>
      <c r="C82" cm="1">
        <f t="array" aca="1" ref="C82" ca="1">IFERROR(VALUE(MID(A82,MIN(FIND({0,1,2,3,4,5,6,7,8,9},A82&amp;"0123456789")), FIND(" ",A82&amp;" ",MIN(FIND({0,1,2,3,4,5,6,7,8,9},A82&amp;"0123456789")))-MIN(FIND({0,1,2,3,4,5,6,7,8,9},A82&amp;"0123456789")))), 1)</f>
        <v>1</v>
      </c>
    </row>
    <row r="83" spans="1:3" x14ac:dyDescent="0.4">
      <c r="A83" t="str">
        <f ca="1"/>
        <v>acos</v>
      </c>
      <c r="B83" s="4">
        <f ca="1"/>
        <v>0.87465800273597805</v>
      </c>
      <c r="C83" cm="1">
        <f t="array" aca="1" ref="C83" ca="1">IFERROR(VALUE(MID(A83,MIN(FIND({0,1,2,3,4,5,6,7,8,9},A83&amp;"0123456789")), FIND(" ",A83&amp;" ",MIN(FIND({0,1,2,3,4,5,6,7,8,9},A83&amp;"0123456789")))-MIN(FIND({0,1,2,3,4,5,6,7,8,9},A83&amp;"0123456789")))), 1)</f>
        <v>1</v>
      </c>
    </row>
    <row r="84" spans="1:3" x14ac:dyDescent="0.4">
      <c r="A84" t="str">
        <f ca="1"/>
        <v>atan</v>
      </c>
      <c r="B84" s="4">
        <f ca="1"/>
        <v>1.149965800273598</v>
      </c>
      <c r="C84" cm="1">
        <f t="array" aca="1" ref="C84" ca="1">IFERROR(VALUE(MID(A84,MIN(FIND({0,1,2,3,4,5,6,7,8,9},A84&amp;"0123456789")), FIND(" ",A84&amp;" ",MIN(FIND({0,1,2,3,4,5,6,7,8,9},A84&amp;"0123456789")))-MIN(FIND({0,1,2,3,4,5,6,7,8,9},A84&amp;"0123456789")))), 1)</f>
        <v>1</v>
      </c>
    </row>
    <row r="85" spans="1:3" x14ac:dyDescent="0.4">
      <c r="A85" t="str">
        <f ca="1"/>
        <v>ln</v>
      </c>
      <c r="B85" s="4">
        <f ca="1"/>
        <v>1.1944254445964433</v>
      </c>
      <c r="C85" cm="1">
        <f t="array" aca="1" ref="C85" ca="1">IFERROR(VALUE(MID(A85,MIN(FIND({0,1,2,3,4,5,6,7,8,9},A85&amp;"0123456789")), FIND(" ",A85&amp;" ",MIN(FIND({0,1,2,3,4,5,6,7,8,9},A85&amp;"0123456789")))-MIN(FIND({0,1,2,3,4,5,6,7,8,9},A85&amp;"0123456789")))), 1)</f>
        <v>1</v>
      </c>
    </row>
    <row r="86" spans="1:3" x14ac:dyDescent="0.4">
      <c r="A86" t="str">
        <f ca="1"/>
        <v>log</v>
      </c>
      <c r="B86" s="4">
        <f ca="1"/>
        <v>0.98375512995896031</v>
      </c>
      <c r="C86" cm="1">
        <f t="array" aca="1" ref="C86" ca="1">IFERROR(VALUE(MID(A86,MIN(FIND({0,1,2,3,4,5,6,7,8,9},A86&amp;"0123456789")), FIND(" ",A86&amp;" ",MIN(FIND({0,1,2,3,4,5,6,7,8,9},A86&amp;"0123456789")))-MIN(FIND({0,1,2,3,4,5,6,7,8,9},A86&amp;"0123456789")))), 1)</f>
        <v>1</v>
      </c>
    </row>
    <row r="87" spans="1:3" x14ac:dyDescent="0.4">
      <c r="A87" t="str">
        <f ca="1"/>
        <v>e^</v>
      </c>
      <c r="B87" s="4">
        <f ca="1"/>
        <v>1.0817373461012312</v>
      </c>
      <c r="C87" cm="1">
        <f t="array" aca="1" ref="C87" ca="1">IFERROR(VALUE(MID(A87,MIN(FIND({0,1,2,3,4,5,6,7,8,9},A87&amp;"0123456789")), FIND(" ",A87&amp;" ",MIN(FIND({0,1,2,3,4,5,6,7,8,9},A87&amp;"0123456789")))-MIN(FIND({0,1,2,3,4,5,6,7,8,9},A87&amp;"0123456789")))), 1)</f>
        <v>1</v>
      </c>
    </row>
    <row r="88" spans="1:3" x14ac:dyDescent="0.4">
      <c r="A88" t="str">
        <f ca="1"/>
        <v>10^</v>
      </c>
      <c r="B88" s="4">
        <f ca="1"/>
        <v>1.1328659370725036</v>
      </c>
      <c r="C88" cm="1">
        <f t="array" aca="1" ref="C88" ca="1">IFERROR(VALUE(MID(A88,MIN(FIND({0,1,2,3,4,5,6,7,8,9},A88&amp;"0123456789")), FIND(" ",A88&amp;" ",MIN(FIND({0,1,2,3,4,5,6,7,8,9},A88&amp;"0123456789")))-MIN(FIND({0,1,2,3,4,5,6,7,8,9},A88&amp;"0123456789")))), 1)</f>
        <v>1</v>
      </c>
    </row>
    <row r="89" spans="1:3" x14ac:dyDescent="0.4">
      <c r="A89" t="str">
        <f ca="1"/>
        <v>set var</v>
      </c>
      <c r="B89" s="4">
        <f ca="1"/>
        <v>3.3577434476758503</v>
      </c>
      <c r="C89" cm="1">
        <f t="array" aca="1" ref="C89" ca="1">IFERROR(VALUE(MID(A89,MIN(FIND({0,1,2,3,4,5,6,7,8,9},A89&amp;"0123456789")), FIND(" ",A89&amp;" ",MIN(FIND({0,1,2,3,4,5,6,7,8,9},A89&amp;"0123456789")))-MIN(FIND({0,1,2,3,4,5,6,7,8,9},A89&amp;"0123456789")))), 1)</f>
        <v>1</v>
      </c>
    </row>
    <row r="90" spans="1:3" x14ac:dyDescent="0.4">
      <c r="A90" t="str">
        <f ca="1"/>
        <v>change var</v>
      </c>
      <c r="B90" s="4">
        <f ca="1"/>
        <v>3.4756070952269211</v>
      </c>
      <c r="C90" cm="1">
        <f t="array" aca="1" ref="C90" ca="1">IFERROR(VALUE(MID(A90,MIN(FIND({0,1,2,3,4,5,6,7,8,9},A90&amp;"0123456789")), FIND(" ",A90&amp;" ",MIN(FIND({0,1,2,3,4,5,6,7,8,9},A90&amp;"0123456789")))-MIN(FIND({0,1,2,3,4,5,6,7,8,9},A90&amp;"0123456789")))), 1)</f>
        <v>1</v>
      </c>
    </row>
    <row r="91" spans="1:3" x14ac:dyDescent="0.4">
      <c r="A91" t="str">
        <f ca="1"/>
        <v>show var</v>
      </c>
      <c r="B91" s="4">
        <f ca="1"/>
        <v>10.056784252671587</v>
      </c>
      <c r="C91" cm="1">
        <f t="array" aca="1" ref="C91" ca="1">IFERROR(VALUE(MID(A91,MIN(FIND({0,1,2,3,4,5,6,7,8,9},A91&amp;"0123456789")), FIND(" ",A91&amp;" ",MIN(FIND({0,1,2,3,4,5,6,7,8,9},A91&amp;"0123456789")))-MIN(FIND({0,1,2,3,4,5,6,7,8,9},A91&amp;"0123456789")))), 1)</f>
        <v>1</v>
      </c>
    </row>
    <row r="92" spans="1:3" x14ac:dyDescent="0.4">
      <c r="A92" t="str">
        <f ca="1"/>
        <v>hide var</v>
      </c>
      <c r="B92" s="4">
        <f ca="1"/>
        <v>6.7154868953517006</v>
      </c>
      <c r="C92" cm="1">
        <f t="array" aca="1" ref="C92" ca="1">IFERROR(VALUE(MID(A92,MIN(FIND({0,1,2,3,4,5,6,7,8,9},A92&amp;"0123456789")), FIND(" ",A92&amp;" ",MIN(FIND({0,1,2,3,4,5,6,7,8,9},A92&amp;"0123456789")))-MIN(FIND({0,1,2,3,4,5,6,7,8,9},A92&amp;"0123456789")))), 1)</f>
        <v>1</v>
      </c>
    </row>
    <row r="93" spans="1:3" x14ac:dyDescent="0.4">
      <c r="A93" t="str">
        <f ca="1"/>
        <v>list contents</v>
      </c>
      <c r="B93" s="4">
        <f ca="1"/>
        <v>16.361118889124207</v>
      </c>
      <c r="C93" cm="1">
        <f t="array" aca="1" ref="C93" ca="1">IFERROR(VALUE(MID(A93,MIN(FIND({0,1,2,3,4,5,6,7,8,9},A93&amp;"0123456789")), FIND(" ",A93&amp;" ",MIN(FIND({0,1,2,3,4,5,6,7,8,9},A93&amp;"0123456789")))-MIN(FIND({0,1,2,3,4,5,6,7,8,9},A93&amp;"0123456789")))), 1)</f>
        <v>1</v>
      </c>
    </row>
    <row r="94" spans="1:3" x14ac:dyDescent="0.4">
      <c r="A94" t="str">
        <f ca="1"/>
        <v>add to</v>
      </c>
      <c r="B94" s="4">
        <f ca="1"/>
        <v>4.5583080436611754</v>
      </c>
      <c r="C94" cm="1">
        <f t="array" aca="1" ref="C94" ca="1">IFERROR(VALUE(MID(A94,MIN(FIND({0,1,2,3,4,5,6,7,8,9},A94&amp;"0123456789")), FIND(" ",A94&amp;" ",MIN(FIND({0,1,2,3,4,5,6,7,8,9},A94&amp;"0123456789")))-MIN(FIND({0,1,2,3,4,5,6,7,8,9},A94&amp;"0123456789")))), 1)</f>
        <v>1</v>
      </c>
    </row>
    <row r="95" spans="1:3" x14ac:dyDescent="0.4">
      <c r="A95" t="str">
        <f ca="1"/>
        <v>insert at</v>
      </c>
      <c r="B95" s="4">
        <f ca="1"/>
        <v>6.4194572689443596</v>
      </c>
      <c r="C95" cm="1">
        <f t="array" aca="1" ref="C95" ca="1">IFERROR(VALUE(MID(A95,MIN(FIND({0,1,2,3,4,5,6,7,8,9},A95&amp;"0123456789")), FIND(" ",A95&amp;" ",MIN(FIND({0,1,2,3,4,5,6,7,8,9},A95&amp;"0123456789")))-MIN(FIND({0,1,2,3,4,5,6,7,8,9},A95&amp;"0123456789")))), 1)</f>
        <v>1</v>
      </c>
    </row>
    <row r="96" spans="1:3" x14ac:dyDescent="0.4">
      <c r="A96" t="str">
        <f ca="1"/>
        <v>replace item at</v>
      </c>
      <c r="B96" s="4">
        <f ca="1"/>
        <v>3.656514089142517</v>
      </c>
      <c r="C96" cm="1">
        <f t="array" aca="1" ref="C96" ca="1">IFERROR(VALUE(MID(A96,MIN(FIND({0,1,2,3,4,5,6,7,8,9},A96&amp;"0123456789")), FIND(" ",A96&amp;" ",MIN(FIND({0,1,2,3,4,5,6,7,8,9},A96&amp;"0123456789")))-MIN(FIND({0,1,2,3,4,5,6,7,8,9},A96&amp;"0123456789")))), 1)</f>
        <v>1</v>
      </c>
    </row>
    <row r="97" spans="1:3" x14ac:dyDescent="0.4">
      <c r="A97" t="str">
        <f ca="1"/>
        <v>show list</v>
      </c>
      <c r="B97" s="4">
        <f ca="1"/>
        <v>7.1266391542507836</v>
      </c>
      <c r="C97" cm="1">
        <f t="array" aca="1" ref="C97" ca="1">IFERROR(VALUE(MID(A97,MIN(FIND({0,1,2,3,4,5,6,7,8,9},A97&amp;"0123456789")), FIND(" ",A97&amp;" ",MIN(FIND({0,1,2,3,4,5,6,7,8,9},A97&amp;"0123456789")))-MIN(FIND({0,1,2,3,4,5,6,7,8,9},A97&amp;"0123456789")))), 1)</f>
        <v>1</v>
      </c>
    </row>
    <row r="98" spans="1:3" x14ac:dyDescent="0.4">
      <c r="A98" t="str">
        <f ca="1"/>
        <v>hide list</v>
      </c>
      <c r="B98" s="4">
        <f ca="1"/>
        <v>6.7483790760636264</v>
      </c>
      <c r="C98" cm="1">
        <f t="array" aca="1" ref="C98" ca="1">IFERROR(VALUE(MID(A98,MIN(FIND({0,1,2,3,4,5,6,7,8,9},A98&amp;"0123456789")), FIND(" ",A98&amp;" ",MIN(FIND({0,1,2,3,4,5,6,7,8,9},A98&amp;"0123456789")))-MIN(FIND({0,1,2,3,4,5,6,7,8,9},A98&amp;"0123456789")))), 1)</f>
        <v>1</v>
      </c>
    </row>
    <row r="99" spans="1:3" x14ac:dyDescent="0.4">
      <c r="A99" t="str">
        <f ca="1"/>
        <v>delete of</v>
      </c>
      <c r="B99" s="4">
        <f ca="1"/>
        <v>4.2074581160672899</v>
      </c>
      <c r="C99" cm="1">
        <f t="array" aca="1" ref="C99" ca="1">IFERROR(VALUE(MID(A99,MIN(FIND({0,1,2,3,4,5,6,7,8,9},A99&amp;"0123456789")), FIND(" ",A99&amp;" ",MIN(FIND({0,1,2,3,4,5,6,7,8,9},A99&amp;"0123456789")))-MIN(FIND({0,1,2,3,4,5,6,7,8,9},A99&amp;"0123456789")))), 1)</f>
        <v>1</v>
      </c>
    </row>
    <row r="100" spans="1:3" x14ac:dyDescent="0.4">
      <c r="A100" t="str">
        <f ca="1"/>
        <v>delete all</v>
      </c>
      <c r="B100" s="4">
        <f ca="1"/>
        <v>3.4098227338030669</v>
      </c>
      <c r="C100" cm="1">
        <f t="array" aca="1" ref="C100" ca="1">IFERROR(VALUE(MID(A100,MIN(FIND({0,1,2,3,4,5,6,7,8,9},A100&amp;"0123456789")), FIND(" ",A100&amp;" ",MIN(FIND({0,1,2,3,4,5,6,7,8,9},A100&amp;"0123456789")))-MIN(FIND({0,1,2,3,4,5,6,7,8,9},A100&amp;"0123456789")))), 1)</f>
        <v>1</v>
      </c>
    </row>
    <row r="101" spans="1:3" x14ac:dyDescent="0.4">
      <c r="A101" t="str">
        <f ca="1"/>
        <v>item of</v>
      </c>
      <c r="B101" s="4">
        <f ca="1"/>
        <v>2.8466453013542852</v>
      </c>
      <c r="C101" cm="1">
        <f t="array" aca="1" ref="C101" ca="1">IFERROR(VALUE(MID(A101,MIN(FIND({0,1,2,3,4,5,6,7,8,9},A101&amp;"0123456789")), FIND(" ",A101&amp;" ",MIN(FIND({0,1,2,3,4,5,6,7,8,9},A101&amp;"0123456789")))-MIN(FIND({0,1,2,3,4,5,6,7,8,9},A101&amp;"0123456789")))), 1)</f>
        <v>1</v>
      </c>
    </row>
    <row r="102" spans="1:3" x14ac:dyDescent="0.4">
      <c r="A102" t="str">
        <f ca="1"/>
        <v>item num of</v>
      </c>
      <c r="B102" s="4">
        <f ca="1"/>
        <v>63.921434633443859</v>
      </c>
      <c r="C102" cm="1">
        <f t="array" aca="1" ref="C102" ca="1">IFERROR(VALUE(MID(A102,MIN(FIND({0,1,2,3,4,5,6,7,8,9},A102&amp;"0123456789")), FIND(" ",A102&amp;" ",MIN(FIND({0,1,2,3,4,5,6,7,8,9},A102&amp;"0123456789")))-MIN(FIND({0,1,2,3,4,5,6,7,8,9},A102&amp;"0123456789")))), 1)</f>
        <v>1</v>
      </c>
    </row>
    <row r="103" spans="1:3" x14ac:dyDescent="0.4">
      <c r="A103" t="str">
        <f ca="1"/>
        <v>length of list</v>
      </c>
      <c r="B103" s="4">
        <f ca="1"/>
        <v>1.9773966855716822</v>
      </c>
      <c r="C103" cm="1">
        <f t="array" aca="1" ref="C103" ca="1">IFERROR(VALUE(MID(A103,MIN(FIND({0,1,2,3,4,5,6,7,8,9},A103&amp;"0123456789")), FIND(" ",A103&amp;" ",MIN(FIND({0,1,2,3,4,5,6,7,8,9},A103&amp;"0123456789")))-MIN(FIND({0,1,2,3,4,5,6,7,8,9},A103&amp;"0123456789")))), 1)</f>
        <v>1</v>
      </c>
    </row>
    <row r="104" spans="1:3" x14ac:dyDescent="0.4">
      <c r="A104" t="str">
        <f ca="1"/>
        <v>list contains?</v>
      </c>
      <c r="B104" s="4">
        <f ca="1"/>
        <v>63.152926751278436</v>
      </c>
      <c r="C104" cm="1">
        <f t="array" aca="1" ref="C104" ca="1">IFERROR(VALUE(MID(A104,MIN(FIND({0,1,2,3,4,5,6,7,8,9},A104&amp;"0123456789")), FIND(" ",A104&amp;" ",MIN(FIND({0,1,2,3,4,5,6,7,8,9},A104&amp;"0123456789")))-MIN(FIND({0,1,2,3,4,5,6,7,8,9},A104&amp;"0123456789")))), 1)</f>
        <v>1</v>
      </c>
    </row>
    <row r="105" spans="1:3" x14ac:dyDescent="0.4">
      <c r="A105" t="str">
        <f ca="1"/>
        <v>custom block variable</v>
      </c>
      <c r="B105" s="4">
        <f ca="1"/>
        <v>0.60841213225289703</v>
      </c>
      <c r="C105" cm="1">
        <f t="array" aca="1" ref="C105" ca="1">IFERROR(VALUE(MID(A105,MIN(FIND({0,1,2,3,4,5,6,7,8,9},A105&amp;"0123456789")), FIND(" ",A105&amp;" ",MIN(FIND({0,1,2,3,4,5,6,7,8,9},A105&amp;"0123456789")))-MIN(FIND({0,1,2,3,4,5,6,7,8,9},A105&amp;"0123456789")))), 1)</f>
        <v>1</v>
      </c>
    </row>
    <row r="106" spans="1:3" x14ac:dyDescent="0.4">
      <c r="A106" t="str">
        <f ca="1"/>
        <v>variable (global)</v>
      </c>
      <c r="B106" s="4">
        <f ca="1"/>
        <v>0.95483227358303591</v>
      </c>
      <c r="C106" cm="1">
        <f t="array" aca="1" ref="C106" ca="1">IFERROR(VALUE(MID(A106,MIN(FIND({0,1,2,3,4,5,6,7,8,9},A106&amp;"0123456789")), FIND(" ",A106&amp;" ",MIN(FIND({0,1,2,3,4,5,6,7,8,9},A106&amp;"0123456789")))-MIN(FIND({0,1,2,3,4,5,6,7,8,9},A106&amp;"0123456789")))), 1)</f>
        <v>1</v>
      </c>
    </row>
    <row r="107" spans="1:3" x14ac:dyDescent="0.4">
      <c r="A107" t="str">
        <f ca="1"/>
        <v>variable (local)</v>
      </c>
      <c r="B107" s="4">
        <f ca="1"/>
        <v>0.55221099230306114</v>
      </c>
      <c r="C107" cm="1">
        <f t="array" aca="1" ref="C107" ca="1">IFERROR(VALUE(MID(A107,MIN(FIND({0,1,2,3,4,5,6,7,8,9},A107&amp;"0123456789")), FIND(" ",A107&amp;" ",MIN(FIND({0,1,2,3,4,5,6,7,8,9},A107&amp;"0123456789")))-MIN(FIND({0,1,2,3,4,5,6,7,8,9},A107&amp;"0123456789")))), 1)</f>
        <v>1</v>
      </c>
    </row>
    <row r="108" spans="1:3" x14ac:dyDescent="0.4">
      <c r="A108" t="str">
        <f ca="1"/>
        <v>x position</v>
      </c>
      <c r="B108" s="4">
        <f ca="1"/>
        <v>0.3075978339968064</v>
      </c>
      <c r="C108" cm="1">
        <f t="array" aca="1" ref="C108" ca="1">IFERROR(VALUE(MID(A108,MIN(FIND({0,1,2,3,4,5,6,7,8,9},A108&amp;"0123456789")), FIND(" ",A108&amp;" ",MIN(FIND({0,1,2,3,4,5,6,7,8,9},A108&amp;"0123456789")))-MIN(FIND({0,1,2,3,4,5,6,7,8,9},A108&amp;"0123456789")))), 1)</f>
        <v>1</v>
      </c>
    </row>
    <row r="109" spans="1:3" x14ac:dyDescent="0.4">
      <c r="A109" t="str">
        <f ca="1"/>
        <v>costume number</v>
      </c>
      <c r="B109" s="4">
        <f ca="1"/>
        <v>0.1</v>
      </c>
      <c r="C109" cm="1">
        <f t="array" aca="1" ref="C109" ca="1">IFERROR(VALUE(MID(A109,MIN(FIND({0,1,2,3,4,5,6,7,8,9},A109&amp;"0123456789")), FIND(" ",A109&amp;" ",MIN(FIND({0,1,2,3,4,5,6,7,8,9},A109&amp;"0123456789")))-MIN(FIND({0,1,2,3,4,5,6,7,8,9},A109&amp;"0123456789")))), 1)</f>
        <v>1</v>
      </c>
    </row>
    <row r="110" spans="1:3" x14ac:dyDescent="0.4">
      <c r="A110" t="str">
        <f ca="1"/>
        <v>size</v>
      </c>
      <c r="B110" s="4">
        <f ca="1"/>
        <v>0.1</v>
      </c>
      <c r="C110" cm="1">
        <f t="array" aca="1" ref="C110" ca="1">IFERROR(VALUE(MID(A110,MIN(FIND({0,1,2,3,4,5,6,7,8,9},A110&amp;"0123456789")), FIND(" ",A110&amp;" ",MIN(FIND({0,1,2,3,4,5,6,7,8,9},A110&amp;"0123456789")))-MIN(FIND({0,1,2,3,4,5,6,7,8,9},A110&amp;"0123456789")))), 1)</f>
        <v>1</v>
      </c>
    </row>
    <row r="111" spans="1:3" x14ac:dyDescent="0.4">
      <c r="A111" t="str">
        <f ca="1"/>
        <v>volume</v>
      </c>
      <c r="B111" s="4">
        <f ca="1"/>
        <v>0.1</v>
      </c>
      <c r="C111" cm="1">
        <f t="array" aca="1" ref="C111" ca="1">IFERROR(VALUE(MID(A111,MIN(FIND({0,1,2,3,4,5,6,7,8,9},A111&amp;"0123456789")), FIND(" ",A111&amp;" ",MIN(FIND({0,1,2,3,4,5,6,7,8,9},A111&amp;"0123456789")))-MIN(FIND({0,1,2,3,4,5,6,7,8,9},A111&amp;"0123456789")))), 1)</f>
        <v>1</v>
      </c>
    </row>
    <row r="112" spans="1:3" x14ac:dyDescent="0.4">
      <c r="A112" t="str">
        <f ca="1"/>
        <v>tempo</v>
      </c>
      <c r="B112" s="4">
        <f ca="1"/>
        <v>0.1</v>
      </c>
      <c r="C112" cm="1">
        <f t="array" aca="1" ref="C112" ca="1">IFERROR(VALUE(MID(A112,MIN(FIND({0,1,2,3,4,5,6,7,8,9},A112&amp;"0123456789")), FIND(" ",A112&amp;" ",MIN(FIND({0,1,2,3,4,5,6,7,8,9},A112&amp;"0123456789")))-MIN(FIND({0,1,2,3,4,5,6,7,8,9},A112&amp;"0123456789")))), 1)</f>
        <v>1</v>
      </c>
    </row>
    <row r="113" spans="1:3" x14ac:dyDescent="0.4">
      <c r="A113" t="str">
        <f ca="1"/>
        <v>erase all</v>
      </c>
      <c r="B113" s="4">
        <f ca="1"/>
        <v>6.635707117718284</v>
      </c>
      <c r="C113" cm="1">
        <f t="array" aca="1" ref="C113" ca="1">IFERROR(VALUE(MID(A113,MIN(FIND({0,1,2,3,4,5,6,7,8,9},A113&amp;"0123456789")), FIND(" ",A113&amp;" ",MIN(FIND({0,1,2,3,4,5,6,7,8,9},A113&amp;"0123456789")))-MIN(FIND({0,1,2,3,4,5,6,7,8,9},A113&amp;"0123456789")))), 1)</f>
        <v>1</v>
      </c>
    </row>
    <row r="114" spans="1:3" x14ac:dyDescent="0.4">
      <c r="A114" t="str">
        <f ca="1"/>
        <v>stamp (vector)</v>
      </c>
      <c r="B114" s="4">
        <f ca="1"/>
        <v>53.870525525562421</v>
      </c>
      <c r="C114" cm="1">
        <f t="array" aca="1" ref="C114" ca="1">IFERROR(VALUE(MID(A114,MIN(FIND({0,1,2,3,4,5,6,7,8,9},A114&amp;"0123456789")), FIND(" ",A114&amp;" ",MIN(FIND({0,1,2,3,4,5,6,7,8,9},A114&amp;"0123456789")))-MIN(FIND({0,1,2,3,4,5,6,7,8,9},A114&amp;"0123456789")))), 1)</f>
        <v>1</v>
      </c>
    </row>
    <row r="115" spans="1:3" x14ac:dyDescent="0.4">
      <c r="A115" t="str">
        <f ca="1"/>
        <v>stamp (bitmap)</v>
      </c>
      <c r="B115" s="4">
        <f ca="1"/>
        <v>46.202963206743192</v>
      </c>
      <c r="C115" cm="1">
        <f t="array" aca="1" ref="C115" ca="1">IFERROR(VALUE(MID(A115,MIN(FIND({0,1,2,3,4,5,6,7,8,9},A115&amp;"0123456789")), FIND(" ",A115&amp;" ",MIN(FIND({0,1,2,3,4,5,6,7,8,9},A115&amp;"0123456789")))-MIN(FIND({0,1,2,3,4,5,6,7,8,9},A115&amp;"0123456789")))), 1)</f>
        <v>1</v>
      </c>
    </row>
    <row r="116" spans="1:3" x14ac:dyDescent="0.4">
      <c r="A116" t="str">
        <f ca="1"/>
        <v>pen down</v>
      </c>
      <c r="B116" s="4">
        <f ca="1"/>
        <v>18.076676089499724</v>
      </c>
      <c r="C116" cm="1">
        <f t="array" aca="1" ref="C116" ca="1">IFERROR(VALUE(MID(A116,MIN(FIND({0,1,2,3,4,5,6,7,8,9},A116&amp;"0123456789")), FIND(" ",A116&amp;" ",MIN(FIND({0,1,2,3,4,5,6,7,8,9},A116&amp;"0123456789")))-MIN(FIND({0,1,2,3,4,5,6,7,8,9},A116&amp;"0123456789")))), 1)</f>
        <v>1</v>
      </c>
    </row>
    <row r="117" spans="1:3" x14ac:dyDescent="0.4">
      <c r="A117" t="str">
        <f ca="1"/>
        <v>pen up</v>
      </c>
      <c r="B117" s="4">
        <f ca="1"/>
        <v>3.5072099654441549</v>
      </c>
      <c r="C117" cm="1">
        <f t="array" aca="1" ref="C117" ca="1">IFERROR(VALUE(MID(A117,MIN(FIND({0,1,2,3,4,5,6,7,8,9},A117&amp;"0123456789")), FIND(" ",A117&amp;" ",MIN(FIND({0,1,2,3,4,5,6,7,8,9},A117&amp;"0123456789")))-MIN(FIND({0,1,2,3,4,5,6,7,8,9},A117&amp;"0123456789")))), 1)</f>
        <v>1</v>
      </c>
    </row>
    <row r="118" spans="1:3" x14ac:dyDescent="0.4">
      <c r="A118" t="str">
        <f ca="1"/>
        <v>set pen colour to</v>
      </c>
      <c r="B118" s="4">
        <f ca="1"/>
        <v>12.92288867549024</v>
      </c>
      <c r="C118" cm="1">
        <f t="array" aca="1" ref="C118" ca="1">IFERROR(VALUE(MID(A118,MIN(FIND({0,1,2,3,4,5,6,7,8,9},A118&amp;"0123456789")), FIND(" ",A118&amp;" ",MIN(FIND({0,1,2,3,4,5,6,7,8,9},A118&amp;"0123456789")))-MIN(FIND({0,1,2,3,4,5,6,7,8,9},A118&amp;"0123456789")))), 1)</f>
        <v>1</v>
      </c>
    </row>
    <row r="119" spans="1:3" x14ac:dyDescent="0.4">
      <c r="A119" t="str">
        <f ca="1"/>
        <v>change pen colour by</v>
      </c>
      <c r="B119" s="4">
        <f ca="1"/>
        <v>4.5198550963118347</v>
      </c>
      <c r="C119" cm="1">
        <f t="array" aca="1" ref="C119" ca="1">IFERROR(VALUE(MID(A119,MIN(FIND({0,1,2,3,4,5,6,7,8,9},A119&amp;"0123456789")), FIND(" ",A119&amp;" ",MIN(FIND({0,1,2,3,4,5,6,7,8,9},A119&amp;"0123456789")))-MIN(FIND({0,1,2,3,4,5,6,7,8,9},A119&amp;"0123456789")))), 1)</f>
        <v>1</v>
      </c>
    </row>
    <row r="120" spans="1:3" x14ac:dyDescent="0.4">
      <c r="A120" t="str">
        <f ca="1"/>
        <v>change pen size by</v>
      </c>
      <c r="B120" s="4">
        <f ca="1"/>
        <v>3.5017213739489375</v>
      </c>
      <c r="C120" cm="1">
        <f t="array" aca="1" ref="C120" ca="1">IFERROR(VALUE(MID(A120,MIN(FIND({0,1,2,3,4,5,6,7,8,9},A120&amp;"0123456789")), FIND(" ",A120&amp;" ",MIN(FIND({0,1,2,3,4,5,6,7,8,9},A120&amp;"0123456789")))-MIN(FIND({0,1,2,3,4,5,6,7,8,9},A120&amp;"0123456789")))), 1)</f>
        <v>1</v>
      </c>
    </row>
    <row r="121" spans="1:3" x14ac:dyDescent="0.4">
      <c r="A121" t="str">
        <f ca="1"/>
        <v>set pen size to</v>
      </c>
      <c r="B121" s="4">
        <f ca="1"/>
        <v>3.3645065865684933</v>
      </c>
      <c r="C121" cm="1">
        <f t="array" aca="1" ref="C121" ca="1">IFERROR(VALUE(MID(A121,MIN(FIND({0,1,2,3,4,5,6,7,8,9},A121&amp;"0123456789")), FIND(" ",A121&amp;" ",MIN(FIND({0,1,2,3,4,5,6,7,8,9},A121&amp;"0123456789")))-MIN(FIND({0,1,2,3,4,5,6,7,8,9},A121&amp;"0123456789")))), 1)</f>
        <v>1</v>
      </c>
    </row>
    <row r="122" spans="1:3" x14ac:dyDescent="0.4">
      <c r="A122" t="str">
        <f ca="1"/>
        <v>start sound</v>
      </c>
      <c r="B122" s="4">
        <f ca="1"/>
        <v>79.309478163413715</v>
      </c>
      <c r="C122" cm="1">
        <f t="array" aca="1" ref="C122" ca="1">IFERROR(VALUE(MID(A122,MIN(FIND({0,1,2,3,4,5,6,7,8,9},A122&amp;"0123456789")), FIND(" ",A122&amp;" ",MIN(FIND({0,1,2,3,4,5,6,7,8,9},A122&amp;"0123456789")))-MIN(FIND({0,1,2,3,4,5,6,7,8,9},A122&amp;"0123456789")))), 1)</f>
        <v>1</v>
      </c>
    </row>
    <row r="123" spans="1:3" x14ac:dyDescent="0.4">
      <c r="A123" t="str">
        <f ca="1"/>
        <v>stop all sounds</v>
      </c>
      <c r="B123" s="4">
        <f ca="1"/>
        <v>27.66425833359089</v>
      </c>
      <c r="C123" cm="1">
        <f t="array" aca="1" ref="C123" ca="1">IFERROR(VALUE(MID(A123,MIN(FIND({0,1,2,3,4,5,6,7,8,9},A123&amp;"0123456789")), FIND(" ",A123&amp;" ",MIN(FIND({0,1,2,3,4,5,6,7,8,9},A123&amp;"0123456789")))-MIN(FIND({0,1,2,3,4,5,6,7,8,9},A123&amp;"0123456789")))), 1)</f>
        <v>1</v>
      </c>
    </row>
    <row r="124" spans="1:3" x14ac:dyDescent="0.4">
      <c r="A124" t="str">
        <f ca="1"/>
        <v>custom block no def</v>
      </c>
      <c r="B124" s="4">
        <f ca="1"/>
        <v>2.0011398065295865</v>
      </c>
      <c r="C124" cm="1">
        <f t="array" aca="1" ref="C124" ca="1">IFERROR(VALUE(MID(A124,MIN(FIND({0,1,2,3,4,5,6,7,8,9},A124&amp;"0123456789")), FIND(" ",A124&amp;" ",MIN(FIND({0,1,2,3,4,5,6,7,8,9},A124&amp;"0123456789")))-MIN(FIND({0,1,2,3,4,5,6,7,8,9},A124&amp;"0123456789")))), 1)</f>
        <v>1</v>
      </c>
    </row>
    <row r="125" spans="1:3" x14ac:dyDescent="0.4">
      <c r="A125" t="str">
        <f ca="1"/>
        <v>custom block 6</v>
      </c>
      <c r="B125" s="4">
        <f ca="1"/>
        <v>9.6540000748246104</v>
      </c>
      <c r="C125" cm="1">
        <f t="array" aca="1" ref="C125" ca="1">IFERROR(VALUE(MID(A125,MIN(FIND({0,1,2,3,4,5,6,7,8,9},A125&amp;"0123456789")), FIND(" ",A125&amp;" ",MIN(FIND({0,1,2,3,4,5,6,7,8,9},A125&amp;"0123456789")))-MIN(FIND({0,1,2,3,4,5,6,7,8,9},A125&amp;"0123456789")))), 1)</f>
        <v>6</v>
      </c>
    </row>
    <row r="126" spans="1:3" x14ac:dyDescent="0.4">
      <c r="A126" t="str">
        <f ca="1"/>
        <v>broadcast</v>
      </c>
      <c r="B126" s="4">
        <f ca="1"/>
        <v>15.880980072254552</v>
      </c>
      <c r="C126" cm="1">
        <f t="array" aca="1" ref="C126" ca="1">IFERROR(VALUE(MID(A126,MIN(FIND({0,1,2,3,4,5,6,7,8,9},A126&amp;"0123456789")), FIND(" ",A126&amp;" ",MIN(FIND({0,1,2,3,4,5,6,7,8,9},A126&amp;"0123456789")))-MIN(FIND({0,1,2,3,4,5,6,7,8,9},A126&amp;"0123456789")))), 1)</f>
        <v>1</v>
      </c>
    </row>
    <row r="127" spans="1:3" x14ac:dyDescent="0.4">
      <c r="A127" t="str">
        <f ca="1"/>
        <v>broadcast and receive</v>
      </c>
      <c r="B127" s="4">
        <f ca="1"/>
        <v>18.569159703369227</v>
      </c>
      <c r="C127" cm="1">
        <f t="array" aca="1" ref="C127" ca="1">IFERROR(VALUE(MID(A127,MIN(FIND({0,1,2,3,4,5,6,7,8,9},A127&amp;"0123456789")), FIND(" ",A127&amp;" ",MIN(FIND({0,1,2,3,4,5,6,7,8,9},A127&amp;"0123456789")))-MIN(FIND({0,1,2,3,4,5,6,7,8,9},A127&amp;"0123456789")))), 1)</f>
        <v>1</v>
      </c>
    </row>
    <row r="128" spans="1:3" x14ac:dyDescent="0.4">
      <c r="A128" t="str">
        <f ca="1"/>
        <v>string 1 contains 1</v>
      </c>
      <c r="B128" s="4">
        <f ca="1"/>
        <v>1.7589623037528335</v>
      </c>
      <c r="C128" cm="1">
        <f t="array" aca="1" ref="C128" ca="1">IFERROR(VALUE(MID(A128,MIN(FIND({0,1,2,3,4,5,6,7,8,9},A128&amp;"0123456789")), FIND(" ",A128&amp;" ",MIN(FIND({0,1,2,3,4,5,6,7,8,9},A128&amp;"0123456789")))-MIN(FIND({0,1,2,3,4,5,6,7,8,9},A128&amp;"0123456789")))), 1)</f>
        <v>1</v>
      </c>
    </row>
    <row r="129" spans="1:3" x14ac:dyDescent="0.4">
      <c r="A129" t="str">
        <f ca="1"/>
        <v>string 500 contains 1</v>
      </c>
      <c r="B129" s="4">
        <f ca="1"/>
        <v>3.828329719932638</v>
      </c>
      <c r="C129" cm="1">
        <f t="array" aca="1" ref="C129" ca="1">IFERROR(VALUE(MID(A129,MIN(FIND({0,1,2,3,4,5,6,7,8,9},A129&amp;"0123456789")), FIND(" ",A129&amp;" ",MIN(FIND({0,1,2,3,4,5,6,7,8,9},A129&amp;"0123456789")))-MIN(FIND({0,1,2,3,4,5,6,7,8,9},A129&amp;"0123456789")))), 1)</f>
        <v>500</v>
      </c>
    </row>
    <row r="130" spans="1:3" x14ac:dyDescent="0.4">
      <c r="A130" t="str">
        <f ca="1"/>
        <v>string 1000 contains 1</v>
      </c>
      <c r="B130" s="4">
        <f ca="1"/>
        <v>7.346254327438305</v>
      </c>
      <c r="C130" cm="1">
        <f t="array" aca="1" ref="C130" ca="1">IFERROR(VALUE(MID(A130,MIN(FIND({0,1,2,3,4,5,6,7,8,9},A130&amp;"0123456789")), FIND(" ",A130&amp;" ",MIN(FIND({0,1,2,3,4,5,6,7,8,9},A130&amp;"0123456789")))-MIN(FIND({0,1,2,3,4,5,6,7,8,9},A130&amp;"0123456789")))), 1)</f>
        <v>1000</v>
      </c>
    </row>
    <row r="131" spans="1:3" x14ac:dyDescent="0.4">
      <c r="A131" t="str">
        <f ca="1"/>
        <v>string 1500 contains 1</v>
      </c>
      <c r="B131" s="4">
        <f ca="1"/>
        <v>6.3854765984976822</v>
      </c>
      <c r="C131" cm="1">
        <f t="array" aca="1" ref="C131" ca="1">IFERROR(VALUE(MID(A131,MIN(FIND({0,1,2,3,4,5,6,7,8,9},A131&amp;"0123456789")), FIND(" ",A131&amp;" ",MIN(FIND({0,1,2,3,4,5,6,7,8,9},A131&amp;"0123456789")))-MIN(FIND({0,1,2,3,4,5,6,7,8,9},A131&amp;"0123456789")))), 1)</f>
        <v>1500</v>
      </c>
    </row>
    <row r="132" spans="1:3" x14ac:dyDescent="0.4">
      <c r="A132" t="str">
        <f ca="1"/>
        <v>string 2000 contains 1</v>
      </c>
      <c r="B132" s="4">
        <f ca="1"/>
        <v>8.3661568396983519</v>
      </c>
      <c r="C132" cm="1">
        <f t="array" aca="1" ref="C132" ca="1">IFERROR(VALUE(MID(A132,MIN(FIND({0,1,2,3,4,5,6,7,8,9},A132&amp;"0123456789")), FIND(" ",A132&amp;" ",MIN(FIND({0,1,2,3,4,5,6,7,8,9},A132&amp;"0123456789")))-MIN(FIND({0,1,2,3,4,5,6,7,8,9},A132&amp;"0123456789")))), 1)</f>
        <v>2000</v>
      </c>
    </row>
    <row r="133" spans="1:3" x14ac:dyDescent="0.4">
      <c r="A133" t="str">
        <f ca="1"/>
        <v>string 2500 contains 1</v>
      </c>
      <c r="B133" s="4">
        <f ca="1"/>
        <v>9.9773071851526289</v>
      </c>
      <c r="C133" cm="1">
        <f t="array" aca="1" ref="C133" ca="1">IFERROR(VALUE(MID(A133,MIN(FIND({0,1,2,3,4,5,6,7,8,9},A133&amp;"0123456789")), FIND(" ",A133&amp;" ",MIN(FIND({0,1,2,3,4,5,6,7,8,9},A133&amp;"0123456789")))-MIN(FIND({0,1,2,3,4,5,6,7,8,9},A133&amp;"0123456789")))), 1)</f>
        <v>2500</v>
      </c>
    </row>
    <row r="134" spans="1:3" x14ac:dyDescent="0.4">
      <c r="A134" t="str">
        <f ca="1"/>
        <v>item # of 1</v>
      </c>
      <c r="B134" s="4">
        <f ca="1"/>
        <v>3.1631759075891295</v>
      </c>
      <c r="C134" cm="1">
        <f t="array" aca="1" ref="C134" ca="1">IFERROR(VALUE(MID(A134,MIN(FIND({0,1,2,3,4,5,6,7,8,9},A134&amp;"0123456789")), FIND(" ",A134&amp;" ",MIN(FIND({0,1,2,3,4,5,6,7,8,9},A134&amp;"0123456789")))-MIN(FIND({0,1,2,3,4,5,6,7,8,9},A134&amp;"0123456789")))), 1)</f>
        <v>1</v>
      </c>
    </row>
    <row r="135" spans="1:3" x14ac:dyDescent="0.4">
      <c r="A135" t="str">
        <f ca="1"/>
        <v>item # of 200</v>
      </c>
      <c r="B135" s="4">
        <f ca="1"/>
        <v>208.28183043849731</v>
      </c>
      <c r="C135" cm="1">
        <f t="array" aca="1" ref="C135" ca="1">IFERROR(VALUE(MID(A135,MIN(FIND({0,1,2,3,4,5,6,7,8,9},A135&amp;"0123456789")), FIND(" ",A135&amp;" ",MIN(FIND({0,1,2,3,4,5,6,7,8,9},A135&amp;"0123456789")))-MIN(FIND({0,1,2,3,4,5,6,7,8,9},A135&amp;"0123456789")))), 1)</f>
        <v>200</v>
      </c>
    </row>
    <row r="136" spans="1:3" x14ac:dyDescent="0.4">
      <c r="A136" t="str">
        <f ca="1"/>
        <v>item # of 400</v>
      </c>
      <c r="B136" s="4">
        <f ca="1"/>
        <v>414.16910715255801</v>
      </c>
      <c r="C136" cm="1">
        <f t="array" aca="1" ref="C136" ca="1">IFERROR(VALUE(MID(A136,MIN(FIND({0,1,2,3,4,5,6,7,8,9},A136&amp;"0123456789")), FIND(" ",A136&amp;" ",MIN(FIND({0,1,2,3,4,5,6,7,8,9},A136&amp;"0123456789")))-MIN(FIND({0,1,2,3,4,5,6,7,8,9},A136&amp;"0123456789")))), 1)</f>
        <v>400</v>
      </c>
    </row>
    <row r="137" spans="1:3" x14ac:dyDescent="0.4">
      <c r="A137" t="str">
        <f ca="1"/>
        <v>item # of 600</v>
      </c>
      <c r="B137" s="4">
        <f ca="1"/>
        <v>606.01424782825575</v>
      </c>
      <c r="C137" cm="1">
        <f t="array" aca="1" ref="C137" ca="1">IFERROR(VALUE(MID(A137,MIN(FIND({0,1,2,3,4,5,6,7,8,9},A137&amp;"0123456789")), FIND(" ",A137&amp;" ",MIN(FIND({0,1,2,3,4,5,6,7,8,9},A137&amp;"0123456789")))-MIN(FIND({0,1,2,3,4,5,6,7,8,9},A137&amp;"0123456789")))), 1)</f>
        <v>600</v>
      </c>
    </row>
    <row r="138" spans="1:3" x14ac:dyDescent="0.4">
      <c r="A138" t="str">
        <f ca="1"/>
        <v>item # of 800</v>
      </c>
      <c r="B138" s="4">
        <f ca="1"/>
        <v>800.99300201988285</v>
      </c>
      <c r="C138" cm="1">
        <f t="array" aca="1" ref="C138" ca="1">IFERROR(VALUE(MID(A138,MIN(FIND({0,1,2,3,4,5,6,7,8,9},A138&amp;"0123456789")), FIND(" ",A138&amp;" ",MIN(FIND({0,1,2,3,4,5,6,7,8,9},A138&amp;"0123456789")))-MIN(FIND({0,1,2,3,4,5,6,7,8,9},A138&amp;"0123456789")))), 1)</f>
        <v>800</v>
      </c>
    </row>
    <row r="139" spans="1:3" x14ac:dyDescent="0.4">
      <c r="A139" t="str">
        <f ca="1"/>
        <v>item # of 1000</v>
      </c>
      <c r="B139" s="4">
        <f ca="1"/>
        <v>1010.841639216345</v>
      </c>
      <c r="C139" cm="1">
        <f t="array" aca="1" ref="C139" ca="1">IFERROR(VALUE(MID(A139,MIN(FIND({0,1,2,3,4,5,6,7,8,9},A139&amp;"0123456789")), FIND(" ",A139&amp;" ",MIN(FIND({0,1,2,3,4,5,6,7,8,9},A139&amp;"0123456789")))-MIN(FIND({0,1,2,3,4,5,6,7,8,9},A139&amp;"0123456789")))), 1)</f>
        <v>1000</v>
      </c>
    </row>
    <row r="140" spans="1:3" x14ac:dyDescent="0.4">
      <c r="A140" t="str">
        <f ca="1"/>
        <v>list contains 1</v>
      </c>
      <c r="B140" s="4">
        <f ca="1"/>
        <v>3.3405502575473989</v>
      </c>
      <c r="C140" cm="1">
        <f t="array" aca="1" ref="C140" ca="1">IFERROR(VALUE(MID(A140,MIN(FIND({0,1,2,3,4,5,6,7,8,9},A140&amp;"0123456789")), FIND(" ",A140&amp;" ",MIN(FIND({0,1,2,3,4,5,6,7,8,9},A140&amp;"0123456789")))-MIN(FIND({0,1,2,3,4,5,6,7,8,9},A140&amp;"0123456789")))), 1)</f>
        <v>1</v>
      </c>
    </row>
    <row r="141" spans="1:3" x14ac:dyDescent="0.4">
      <c r="A141" t="str">
        <f ca="1"/>
        <v>list contains 200</v>
      </c>
      <c r="B141" s="4">
        <f ca="1"/>
        <v>225.17673727202242</v>
      </c>
      <c r="C141" cm="1">
        <f t="array" aca="1" ref="C141" ca="1">IFERROR(VALUE(MID(A141,MIN(FIND({0,1,2,3,4,5,6,7,8,9},A141&amp;"0123456789")), FIND(" ",A141&amp;" ",MIN(FIND({0,1,2,3,4,5,6,7,8,9},A141&amp;"0123456789")))-MIN(FIND({0,1,2,3,4,5,6,7,8,9},A141&amp;"0123456789")))), 1)</f>
        <v>200</v>
      </c>
    </row>
    <row r="142" spans="1:3" x14ac:dyDescent="0.4">
      <c r="A142" t="str">
        <f ca="1"/>
        <v>list contains 400</v>
      </c>
      <c r="B142" s="4">
        <f ca="1"/>
        <v>451.5064078187736</v>
      </c>
      <c r="C142" cm="1">
        <f t="array" aca="1" ref="C142" ca="1">IFERROR(VALUE(MID(A142,MIN(FIND({0,1,2,3,4,5,6,7,8,9},A142&amp;"0123456789")), FIND(" ",A142&amp;" ",MIN(FIND({0,1,2,3,4,5,6,7,8,9},A142&amp;"0123456789")))-MIN(FIND({0,1,2,3,4,5,6,7,8,9},A142&amp;"0123456789")))), 1)</f>
        <v>400</v>
      </c>
    </row>
    <row r="143" spans="1:3" x14ac:dyDescent="0.4">
      <c r="A143" t="str">
        <f ca="1"/>
        <v>list contains 600</v>
      </c>
      <c r="B143" s="4">
        <f ca="1"/>
        <v>681.44269014800966</v>
      </c>
      <c r="C143" cm="1">
        <f t="array" aca="1" ref="C143" ca="1">IFERROR(VALUE(MID(A143,MIN(FIND({0,1,2,3,4,5,6,7,8,9},A143&amp;"0123456789")), FIND(" ",A143&amp;" ",MIN(FIND({0,1,2,3,4,5,6,7,8,9},A143&amp;"0123456789")))-MIN(FIND({0,1,2,3,4,5,6,7,8,9},A143&amp;"0123456789")))), 1)</f>
        <v>600</v>
      </c>
    </row>
    <row r="144" spans="1:3" x14ac:dyDescent="0.4">
      <c r="A144" t="str">
        <f ca="1"/>
        <v>list contains 800</v>
      </c>
      <c r="B144" s="4">
        <f ca="1"/>
        <v>923.86908295347371</v>
      </c>
      <c r="C144" cm="1">
        <f t="array" aca="1" ref="C144" ca="1">IFERROR(VALUE(MID(A144,MIN(FIND({0,1,2,3,4,5,6,7,8,9},A144&amp;"0123456789")), FIND(" ",A144&amp;" ",MIN(FIND({0,1,2,3,4,5,6,7,8,9},A144&amp;"0123456789")))-MIN(FIND({0,1,2,3,4,5,6,7,8,9},A144&amp;"0123456789")))), 1)</f>
        <v>800</v>
      </c>
    </row>
    <row r="145" spans="1:3" x14ac:dyDescent="0.4">
      <c r="A145" t="str">
        <f ca="1"/>
        <v>list contains 1000</v>
      </c>
      <c r="B145" s="4">
        <f ca="1"/>
        <v>1038.5563813973245</v>
      </c>
      <c r="C145" cm="1">
        <f t="array" aca="1" ref="C145" ca="1">IFERROR(VALUE(MID(A145,MIN(FIND({0,1,2,3,4,5,6,7,8,9},A145&amp;"0123456789")), FIND(" ",A145&amp;" ",MIN(FIND({0,1,2,3,4,5,6,7,8,9},A145&amp;"0123456789")))-MIN(FIND({0,1,2,3,4,5,6,7,8,9},A145&amp;"0123456789")))), 1)</f>
        <v>1000</v>
      </c>
    </row>
    <row r="146" spans="1:3" x14ac:dyDescent="0.4">
      <c r="A146" t="str">
        <f ca="1"/>
        <v>custom block 0</v>
      </c>
      <c r="B146" s="4">
        <f ca="1"/>
        <v>6.9850568160160629</v>
      </c>
      <c r="C146" cm="1">
        <f t="array" aca="1" ref="C146" ca="1">IFERROR(VALUE(MID(A146,MIN(FIND({0,1,2,3,4,5,6,7,8,9},A146&amp;"0123456789")), FIND(" ",A146&amp;" ",MIN(FIND({0,1,2,3,4,5,6,7,8,9},A146&amp;"0123456789")))-MIN(FIND({0,1,2,3,4,5,6,7,8,9},A146&amp;"0123456789")))), 1)</f>
        <v>0</v>
      </c>
    </row>
    <row r="147" spans="1:3" x14ac:dyDescent="0.4">
      <c r="A147" t="str">
        <f ca="1"/>
        <v>custom block 5</v>
      </c>
      <c r="B147" s="4">
        <f ca="1"/>
        <v>7.0702404357235746</v>
      </c>
      <c r="C147" cm="1">
        <f t="array" aca="1" ref="C147" ca="1">IFERROR(VALUE(MID(A147,MIN(FIND({0,1,2,3,4,5,6,7,8,9},A147&amp;"0123456789")), FIND(" ",A147&amp;" ",MIN(FIND({0,1,2,3,4,5,6,7,8,9},A147&amp;"0123456789")))-MIN(FIND({0,1,2,3,4,5,6,7,8,9},A147&amp;"0123456789")))), 1)</f>
        <v>5</v>
      </c>
    </row>
    <row r="148" spans="1:3" x14ac:dyDescent="0.4">
      <c r="A148" t="str">
        <f ca="1"/>
        <v>custom block 10</v>
      </c>
      <c r="B148" s="4">
        <f ca="1"/>
        <v>9.9522862358277653</v>
      </c>
      <c r="C148" cm="1">
        <f t="array" aca="1" ref="C148" ca="1">IFERROR(VALUE(MID(A148,MIN(FIND({0,1,2,3,4,5,6,7,8,9},A148&amp;"0123456789")), FIND(" ",A148&amp;" ",MIN(FIND({0,1,2,3,4,5,6,7,8,9},A148&amp;"0123456789")))-MIN(FIND({0,1,2,3,4,5,6,7,8,9},A148&amp;"0123456789")))), 1)</f>
        <v>10</v>
      </c>
    </row>
    <row r="149" spans="1:3" x14ac:dyDescent="0.4">
      <c r="A149" t="str">
        <f ca="1"/>
        <v>custom block 15</v>
      </c>
      <c r="B149" s="4">
        <f ca="1"/>
        <v>10.349809794462825</v>
      </c>
      <c r="C149" cm="1">
        <f t="array" aca="1" ref="C149" ca="1">IFERROR(VALUE(MID(A149,MIN(FIND({0,1,2,3,4,5,6,7,8,9},A149&amp;"0123456789")), FIND(" ",A149&amp;" ",MIN(FIND({0,1,2,3,4,5,6,7,8,9},A149&amp;"0123456789")))-MIN(FIND({0,1,2,3,4,5,6,7,8,9},A149&amp;"0123456789")))), 1)</f>
        <v>15</v>
      </c>
    </row>
    <row r="150" spans="1:3" x14ac:dyDescent="0.4">
      <c r="A150" t="str">
        <f ca="1"/>
        <v>custom block 20</v>
      </c>
      <c r="B150" s="4">
        <f ca="1"/>
        <v>12.635570256614422</v>
      </c>
      <c r="C150" cm="1">
        <f t="array" aca="1" ref="C150" ca="1">IFERROR(VALUE(MID(A150,MIN(FIND({0,1,2,3,4,5,6,7,8,9},A150&amp;"0123456789")), FIND(" ",A150&amp;" ",MIN(FIND({0,1,2,3,4,5,6,7,8,9},A150&amp;"0123456789")))-MIN(FIND({0,1,2,3,4,5,6,7,8,9},A150&amp;"0123456789")))), 1)</f>
        <v>20</v>
      </c>
    </row>
    <row r="151" spans="1:3" x14ac:dyDescent="0.4">
      <c r="A151" t="str">
        <f ca="1"/>
        <v>custom block 25</v>
      </c>
      <c r="B151" s="4">
        <f ca="1"/>
        <v>13.473209183738302</v>
      </c>
      <c r="C151" cm="1">
        <f t="array" aca="1" ref="C151" ca="1">IFERROR(VALUE(MID(A151,MIN(FIND({0,1,2,3,4,5,6,7,8,9},A151&amp;"0123456789")), FIND(" ",A151&amp;" ",MIN(FIND({0,1,2,3,4,5,6,7,8,9},A151&amp;"0123456789")))-MIN(FIND({0,1,2,3,4,5,6,7,8,9},A151&amp;"0123456789")))), 1)</f>
        <v>25</v>
      </c>
    </row>
    <row r="152" spans="1:3" x14ac:dyDescent="0.4">
      <c r="A152" t="str">
        <f ca="1"/>
        <v>custom block 30</v>
      </c>
      <c r="B152" s="4">
        <f ca="1"/>
        <v>14.46701808032595</v>
      </c>
      <c r="C152" cm="1">
        <f t="array" aca="1" ref="C152" ca="1">IFERROR(VALUE(MID(A152,MIN(FIND({0,1,2,3,4,5,6,7,8,9},A152&amp;"0123456789")), FIND(" ",A152&amp;" ",MIN(FIND({0,1,2,3,4,5,6,7,8,9},A152&amp;"0123456789")))-MIN(FIND({0,1,2,3,4,5,6,7,8,9},A152&amp;"0123456789")))), 1)</f>
        <v>30</v>
      </c>
    </row>
    <row r="153" spans="1:3" x14ac:dyDescent="0.4">
      <c r="A153" t="str">
        <f ca="1"/>
        <v>insert at  1</v>
      </c>
      <c r="B153" s="4">
        <f ca="1"/>
        <v>6.3461796682097154</v>
      </c>
      <c r="C153" cm="1">
        <f t="array" aca="1" ref="C153" ca="1">IFERROR(VALUE(MID(A153,MIN(FIND({0,1,2,3,4,5,6,7,8,9},A153&amp;"0123456789")), FIND(" ",A153&amp;" ",MIN(FIND({0,1,2,3,4,5,6,7,8,9},A153&amp;"0123456789")))-MIN(FIND({0,1,2,3,4,5,6,7,8,9},A153&amp;"0123456789")))), 1)</f>
        <v>1</v>
      </c>
    </row>
    <row r="154" spans="1:3" x14ac:dyDescent="0.4">
      <c r="A154" t="str">
        <f ca="1"/>
        <v>insert at 2000</v>
      </c>
      <c r="B154" s="4">
        <f ca="1"/>
        <v>24.902011494496286</v>
      </c>
      <c r="C154" cm="1">
        <f t="array" aca="1" ref="C154" ca="1">IFERROR(VALUE(MID(A154,MIN(FIND({0,1,2,3,4,5,6,7,8,9},A154&amp;"0123456789")), FIND(" ",A154&amp;" ",MIN(FIND({0,1,2,3,4,5,6,7,8,9},A154&amp;"0123456789")))-MIN(FIND({0,1,2,3,4,5,6,7,8,9},A154&amp;"0123456789")))), 1)</f>
        <v>2000</v>
      </c>
    </row>
    <row r="155" spans="1:3" x14ac:dyDescent="0.4">
      <c r="A155" t="str">
        <f ca="1"/>
        <v>insert at 4000</v>
      </c>
      <c r="B155" s="4">
        <f ca="1"/>
        <v>47.291106207620935</v>
      </c>
      <c r="C155" cm="1">
        <f t="array" aca="1" ref="C155" ca="1">IFERROR(VALUE(MID(A155,MIN(FIND({0,1,2,3,4,5,6,7,8,9},A155&amp;"0123456789")), FIND(" ",A155&amp;" ",MIN(FIND({0,1,2,3,4,5,6,7,8,9},A155&amp;"0123456789")))-MIN(FIND({0,1,2,3,4,5,6,7,8,9},A155&amp;"0123456789")))), 1)</f>
        <v>4000</v>
      </c>
    </row>
    <row r="156" spans="1:3" x14ac:dyDescent="0.4">
      <c r="A156" t="str">
        <f ca="1"/>
        <v>insert at 6000</v>
      </c>
      <c r="B156" s="4">
        <f ca="1"/>
        <v>70.645615277430736</v>
      </c>
      <c r="C156" cm="1">
        <f t="array" aca="1" ref="C156" ca="1">IFERROR(VALUE(MID(A156,MIN(FIND({0,1,2,3,4,5,6,7,8,9},A156&amp;"0123456789")), FIND(" ",A156&amp;" ",MIN(FIND({0,1,2,3,4,5,6,7,8,9},A156&amp;"0123456789")))-MIN(FIND({0,1,2,3,4,5,6,7,8,9},A156&amp;"0123456789")))), 1)</f>
        <v>6000</v>
      </c>
    </row>
    <row r="157" spans="1:3" x14ac:dyDescent="0.4">
      <c r="A157" t="str">
        <f ca="1"/>
        <v>insert at 8000</v>
      </c>
      <c r="B157" s="4">
        <f ca="1"/>
        <v>91.004500387526335</v>
      </c>
      <c r="C157" cm="1">
        <f t="array" aca="1" ref="C157" ca="1">IFERROR(VALUE(MID(A157,MIN(FIND({0,1,2,3,4,5,6,7,8,9},A157&amp;"0123456789")), FIND(" ",A157&amp;" ",MIN(FIND({0,1,2,3,4,5,6,7,8,9},A157&amp;"0123456789")))-MIN(FIND({0,1,2,3,4,5,6,7,8,9},A157&amp;"0123456789")))), 1)</f>
        <v>8000</v>
      </c>
    </row>
    <row r="158" spans="1:3" x14ac:dyDescent="0.4">
      <c r="A158" t="str">
        <f ca="1"/>
        <v>insert at  10000</v>
      </c>
      <c r="B158" s="4">
        <f ca="1"/>
        <v>115.19664838446003</v>
      </c>
      <c r="C158" cm="1">
        <f t="array" aca="1" ref="C158" ca="1">IFERROR(VALUE(MID(A158,MIN(FIND({0,1,2,3,4,5,6,7,8,9},A158&amp;"0123456789")), FIND(" ",A158&amp;" ",MIN(FIND({0,1,2,3,4,5,6,7,8,9},A158&amp;"0123456789")))-MIN(FIND({0,1,2,3,4,5,6,7,8,9},A158&amp;"0123456789")))), 1)</f>
        <v>10000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84757-A897-4AEA-B7E2-607788A6A3ED}">
  <sheetPr codeName="Sheet5"/>
  <dimension ref="A1:B24"/>
  <sheetViews>
    <sheetView zoomScale="99" zoomScaleNormal="99" workbookViewId="0">
      <selection activeCell="O6" sqref="O6"/>
    </sheetView>
  </sheetViews>
  <sheetFormatPr defaultRowHeight="14.6" x14ac:dyDescent="0.4"/>
  <cols>
    <col min="1" max="1" width="14.07421875" customWidth="1"/>
    <col min="3" max="3" width="11.765625" customWidth="1"/>
    <col min="4" max="4" width="13" customWidth="1"/>
  </cols>
  <sheetData>
    <row r="1" spans="1:2" x14ac:dyDescent="0.4">
      <c r="A1" s="2"/>
      <c r="B1" s="2"/>
    </row>
    <row r="2" spans="1:2" x14ac:dyDescent="0.4">
      <c r="A2" s="49"/>
      <c r="B2" s="49"/>
    </row>
    <row r="7" spans="1:2" x14ac:dyDescent="0.4">
      <c r="A7" s="49"/>
      <c r="B7" s="49"/>
    </row>
    <row r="13" spans="1:2" x14ac:dyDescent="0.4">
      <c r="A13" s="49"/>
      <c r="B13" s="49"/>
    </row>
    <row r="19" spans="1:2" x14ac:dyDescent="0.4">
      <c r="A19" s="49"/>
      <c r="B19" s="49"/>
    </row>
    <row r="24" spans="1:2" x14ac:dyDescent="0.4">
      <c r="A24" s="49"/>
      <c r="B24" s="49"/>
    </row>
  </sheetData>
  <mergeCells count="5">
    <mergeCell ref="A2:B2"/>
    <mergeCell ref="A7:B7"/>
    <mergeCell ref="A13:B13"/>
    <mergeCell ref="A19:B19"/>
    <mergeCell ref="A24:B2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50E2-FF23-4A41-BD14-C116696EB445}">
  <sheetPr codeName="Sheet3"/>
  <dimension ref="A1:G165"/>
  <sheetViews>
    <sheetView zoomScaleNormal="100" workbookViewId="0">
      <selection activeCell="E153" sqref="E153"/>
    </sheetView>
  </sheetViews>
  <sheetFormatPr defaultRowHeight="14.6" x14ac:dyDescent="0.4"/>
  <cols>
    <col min="1" max="1" width="34.23046875" customWidth="1"/>
    <col min="2" max="2" width="20.84375" customWidth="1"/>
    <col min="3" max="3" width="10.23046875" style="4" bestFit="1" customWidth="1"/>
    <col min="4" max="4" width="12.4609375" bestFit="1" customWidth="1"/>
    <col min="5" max="5" width="12.23046875" style="3" customWidth="1"/>
    <col min="6" max="6" width="14.3828125" bestFit="1" customWidth="1"/>
  </cols>
  <sheetData>
    <row r="1" spans="1:5" x14ac:dyDescent="0.4">
      <c r="A1" s="1" t="s">
        <v>331</v>
      </c>
      <c r="B1" s="1"/>
      <c r="C1" s="6" t="s">
        <v>501</v>
      </c>
      <c r="D1" s="1" t="s">
        <v>502</v>
      </c>
      <c r="E1" s="7" t="s">
        <v>503</v>
      </c>
    </row>
    <row r="2" spans="1:5" x14ac:dyDescent="0.4">
      <c r="A2" t="s">
        <v>134</v>
      </c>
      <c r="B2" t="s">
        <v>0</v>
      </c>
      <c r="C2" s="4">
        <f ca="1">IF(ISNUMBER(B2), B2, IFERROR(INDEX('RTC table'!B:B, MATCH(B2, 'RTC table'!A:A, 0)), "NA"))</f>
        <v>7.1238735560967559</v>
      </c>
    </row>
    <row r="3" spans="1:5" x14ac:dyDescent="0.4">
      <c r="A3" t="s">
        <v>135</v>
      </c>
      <c r="B3" t="s">
        <v>1</v>
      </c>
      <c r="C3" s="4">
        <f ca="1">IF(ISNUMBER(B3), B3, IFERROR(INDEX('RTC table'!B:B, MATCH(B3, 'RTC table'!A:A, 0)), "NA"))</f>
        <v>6.5950911890462756</v>
      </c>
    </row>
    <row r="4" spans="1:5" x14ac:dyDescent="0.4">
      <c r="A4" t="s">
        <v>136</v>
      </c>
      <c r="B4" t="s">
        <v>1</v>
      </c>
      <c r="C4" s="4">
        <f ca="1">IF(ISNUMBER(B4), B4, IFERROR(INDEX('RTC table'!B:B, MATCH(B4, 'RTC table'!A:A, 0)), "NA"))</f>
        <v>6.5950911890462756</v>
      </c>
    </row>
    <row r="5" spans="1:5" x14ac:dyDescent="0.4">
      <c r="A5" t="s">
        <v>137</v>
      </c>
      <c r="B5" t="s">
        <v>2</v>
      </c>
      <c r="C5" s="4">
        <f ca="1">IF(ISNUMBER(B5), B5, IFERROR(INDEX('RTC table'!B:B, MATCH(B5, 'RTC table'!A:A, 0)), "NA"))</f>
        <v>7.3559502616355772</v>
      </c>
    </row>
    <row r="6" spans="1:5" x14ac:dyDescent="0.4">
      <c r="A6" t="s">
        <v>138</v>
      </c>
      <c r="B6" t="s">
        <v>3</v>
      </c>
      <c r="C6" s="4">
        <f ca="1">IF(ISNUMBER(B6), B6, IFERROR(INDEX('RTC table'!B:B, MATCH(B6, 'RTC table'!A:A, 0)), "NA"))</f>
        <v>7.6291544846116608</v>
      </c>
    </row>
    <row r="7" spans="1:5" x14ac:dyDescent="0.4">
      <c r="A7" t="s">
        <v>139</v>
      </c>
      <c r="C7" s="4" t="str">
        <f ca="1">IF(ISNUMBER(B7), B7, IFERROR(INDEX('RTC table'!B:B, MATCH(B7, 'RTC table'!A:A, 0)),"" ))</f>
        <v/>
      </c>
    </row>
    <row r="8" spans="1:5" x14ac:dyDescent="0.4">
      <c r="A8" t="s">
        <v>140</v>
      </c>
      <c r="C8" s="4" t="str">
        <f ca="1">IF(ISNUMBER(B8), B8, IFERROR(INDEX('RTC table'!B:B, MATCH(B8, 'RTC table'!A:A, 0)),"" ))</f>
        <v/>
      </c>
    </row>
    <row r="9" spans="1:5" x14ac:dyDescent="0.4">
      <c r="A9" t="s">
        <v>141</v>
      </c>
      <c r="B9" t="s">
        <v>4</v>
      </c>
      <c r="C9" s="4">
        <f ca="1">IF(ISNUMBER(B9), B9, IFERROR(INDEX('RTC table'!B:B, MATCH(B9, 'RTC table'!A:A, 0)),"" ))</f>
        <v>6.5333999128903848</v>
      </c>
    </row>
    <row r="10" spans="1:5" x14ac:dyDescent="0.4">
      <c r="A10" t="s">
        <v>142</v>
      </c>
      <c r="B10" t="s">
        <v>5</v>
      </c>
      <c r="C10" s="4">
        <f ca="1">IF(ISNUMBER(B10), B10, IFERROR(INDEX('RTC table'!B:B, MATCH(B10, 'RTC table'!A:A, 0)),"" ))</f>
        <v>8.099183255323199</v>
      </c>
    </row>
    <row r="11" spans="1:5" x14ac:dyDescent="0.4">
      <c r="A11" t="s">
        <v>143</v>
      </c>
      <c r="B11" t="s">
        <v>6</v>
      </c>
      <c r="C11" s="4">
        <f ca="1">IF(ISNUMBER(B11), B11, IFERROR(INDEX('RTC table'!B:B, MATCH(B11, 'RTC table'!A:A, 0)),"" ))</f>
        <v>7.4382052965100973</v>
      </c>
    </row>
    <row r="12" spans="1:5" x14ac:dyDescent="0.4">
      <c r="A12" t="s">
        <v>144</v>
      </c>
      <c r="B12" t="s">
        <v>7</v>
      </c>
      <c r="C12" s="4">
        <f ca="1">IF(ISNUMBER(B12), B12, IFERROR(INDEX('RTC table'!B:B, MATCH(B12, 'RTC table'!A:A, 0)),"" ))</f>
        <v>6.9946156441510814</v>
      </c>
    </row>
    <row r="13" spans="1:5" x14ac:dyDescent="0.4">
      <c r="A13" t="s">
        <v>145</v>
      </c>
      <c r="B13" t="s">
        <v>6</v>
      </c>
      <c r="C13" s="4">
        <f ca="1">IF(ISNUMBER(B13), B13, IFERROR(INDEX('RTC table'!B:B, MATCH(B13, 'RTC table'!A:A, 0)),"" ))</f>
        <v>7.4382052965100973</v>
      </c>
    </row>
    <row r="14" spans="1:5" x14ac:dyDescent="0.4">
      <c r="A14" t="s">
        <v>146</v>
      </c>
      <c r="B14" t="s">
        <v>7</v>
      </c>
      <c r="C14" s="4">
        <f ca="1">IF(ISNUMBER(B14), B14, IFERROR(INDEX('RTC table'!B:B, MATCH(B14, 'RTC table'!A:A, 0)),"" ))</f>
        <v>6.9946156441510814</v>
      </c>
    </row>
    <row r="15" spans="1:5" x14ac:dyDescent="0.4">
      <c r="A15" t="s">
        <v>147</v>
      </c>
      <c r="B15" t="s">
        <v>8</v>
      </c>
      <c r="C15" s="4">
        <f ca="1">IF(ISNUMBER(B15), B15, IFERROR(INDEX('RTC table'!B:B, MATCH(B15, 'RTC table'!A:A, 0)),"" ))</f>
        <v>5.5052119769588943</v>
      </c>
    </row>
    <row r="16" spans="1:5" x14ac:dyDescent="0.4">
      <c r="A16" t="s">
        <v>148</v>
      </c>
      <c r="B16" t="s">
        <v>9</v>
      </c>
      <c r="C16" s="4">
        <f ca="1">IF(ISNUMBER(B16), B16, IFERROR(INDEX('RTC table'!B:B, MATCH(B16, 'RTC table'!A:A, 0)),"" ))</f>
        <v>6.7214114211749996</v>
      </c>
    </row>
    <row r="17" spans="1:3" x14ac:dyDescent="0.4">
      <c r="A17" t="s">
        <v>149</v>
      </c>
      <c r="B17" t="s">
        <v>261</v>
      </c>
      <c r="C17" s="4">
        <f ca="1">IF(ISNUMBER(B17), B17, IFERROR(INDEX('RTC table'!B:B, MATCH(B17, 'RTC table'!A:A, 0)),"" ))</f>
        <v>0.3075978339968064</v>
      </c>
    </row>
    <row r="18" spans="1:3" x14ac:dyDescent="0.4">
      <c r="A18" t="s">
        <v>150</v>
      </c>
      <c r="B18" t="s">
        <v>261</v>
      </c>
      <c r="C18" s="4">
        <f ca="1">IF(ISNUMBER(B18), B18, IFERROR(INDEX('RTC table'!B:B, MATCH(B18, 'RTC table'!A:A, 0)),"" ))</f>
        <v>0.3075978339968064</v>
      </c>
    </row>
    <row r="19" spans="1:3" x14ac:dyDescent="0.4">
      <c r="A19" t="s">
        <v>151</v>
      </c>
      <c r="B19" t="s">
        <v>261</v>
      </c>
      <c r="C19" s="4">
        <f ca="1">IF(ISNUMBER(B19), B19, IFERROR(INDEX('RTC table'!B:B, MATCH(B19, 'RTC table'!A:A, 0)),"" ))</f>
        <v>0.3075978339968064</v>
      </c>
    </row>
    <row r="20" spans="1:3" x14ac:dyDescent="0.4">
      <c r="A20" t="s">
        <v>152</v>
      </c>
      <c r="C20" s="4" t="str">
        <f ca="1">IF(ISNUMBER(B20), B20, IFERROR(INDEX('RTC table'!B:B, MATCH(B20, 'RTC table'!A:A, 0)),"" ))</f>
        <v/>
      </c>
    </row>
    <row r="21" spans="1:3" x14ac:dyDescent="0.4">
      <c r="A21" t="s">
        <v>153</v>
      </c>
      <c r="B21" t="s">
        <v>10</v>
      </c>
      <c r="C21" s="4">
        <f ca="1">IF(ISNUMBER(B21), B21, IFERROR(INDEX('RTC table'!B:B, MATCH(B21, 'RTC table'!A:A, 0)),"" ))</f>
        <v>35.804952120383042</v>
      </c>
    </row>
    <row r="22" spans="1:3" x14ac:dyDescent="0.4">
      <c r="A22" t="s">
        <v>154</v>
      </c>
      <c r="C22" s="4" t="str">
        <f ca="1">IF(ISNUMBER(B22), B22, IFERROR(INDEX('RTC table'!B:B, MATCH(B22, 'RTC table'!A:A, 0)),"" ))</f>
        <v/>
      </c>
    </row>
    <row r="23" spans="1:3" x14ac:dyDescent="0.4">
      <c r="A23" t="s">
        <v>155</v>
      </c>
      <c r="B23" t="s">
        <v>11</v>
      </c>
      <c r="C23" s="4">
        <f ca="1">IF(ISNUMBER(B23), B23, IFERROR(INDEX('RTC table'!B:B, MATCH(B23, 'RTC table'!A:A, 0)),"" ))</f>
        <v>39.537838577291396</v>
      </c>
    </row>
    <row r="24" spans="1:3" x14ac:dyDescent="0.4">
      <c r="A24" t="s">
        <v>156</v>
      </c>
      <c r="B24" t="s">
        <v>12</v>
      </c>
      <c r="C24" s="4">
        <f ca="1">IF(ISNUMBER(B24), B24, IFERROR(INDEX('RTC table'!B:B, MATCH(B24, 'RTC table'!A:A, 0)),"" ))</f>
        <v>304.89433652530784</v>
      </c>
    </row>
    <row r="25" spans="1:3" x14ac:dyDescent="0.4">
      <c r="A25" t="s">
        <v>157</v>
      </c>
      <c r="B25" t="s">
        <v>13</v>
      </c>
      <c r="C25" s="4">
        <f ca="1">IF(ISNUMBER(B25), B25, IFERROR(INDEX('RTC table'!B:B, MATCH(B25, 'RTC table'!A:A, 0)),"" ))</f>
        <v>312.01058823529422</v>
      </c>
    </row>
    <row r="26" spans="1:3" x14ac:dyDescent="0.4">
      <c r="A26" t="s">
        <v>158</v>
      </c>
      <c r="B26" t="s">
        <v>14</v>
      </c>
      <c r="C26" s="4">
        <f ca="1">IF(ISNUMBER(B26), B26, IFERROR(INDEX('RTC table'!B:B, MATCH(B26, 'RTC table'!A:A, 0)),"" ))</f>
        <v>14.589015047879622</v>
      </c>
    </row>
    <row r="27" spans="1:3" x14ac:dyDescent="0.4">
      <c r="A27" t="s">
        <v>159</v>
      </c>
      <c r="C27" s="4" t="str">
        <f ca="1">IF(ISNUMBER(B27), B27, IFERROR(INDEX('RTC table'!B:B, MATCH(B27, 'RTC table'!A:A, 0)),"" ))</f>
        <v/>
      </c>
    </row>
    <row r="28" spans="1:3" x14ac:dyDescent="0.4">
      <c r="A28" t="s">
        <v>160</v>
      </c>
      <c r="B28" t="s">
        <v>15</v>
      </c>
      <c r="C28" s="4">
        <f ca="1">IF(ISNUMBER(B28), B28, IFERROR(INDEX('RTC table'!B:B, MATCH(B28, 'RTC table'!A:A, 0)),"" ))</f>
        <v>20.090478796169634</v>
      </c>
    </row>
    <row r="29" spans="1:3" x14ac:dyDescent="0.4">
      <c r="A29" t="s">
        <v>161</v>
      </c>
      <c r="B29" t="s">
        <v>16</v>
      </c>
      <c r="C29" s="4">
        <f ca="1">IF(ISNUMBER(B29), B29, IFERROR(INDEX('RTC table'!B:B, MATCH(B29, 'RTC table'!A:A, 0)),"" ))</f>
        <v>23.781422708618344</v>
      </c>
    </row>
    <row r="30" spans="1:3" x14ac:dyDescent="0.4">
      <c r="A30" t="s">
        <v>162</v>
      </c>
      <c r="B30" t="s">
        <v>17</v>
      </c>
      <c r="C30" s="4">
        <f ca="1">IF(ISNUMBER(B30), B30, IFERROR(INDEX('RTC table'!B:B, MATCH(B30, 'RTC table'!A:A, 0)),"" ))</f>
        <v>13.197920656634752</v>
      </c>
    </row>
    <row r="31" spans="1:3" x14ac:dyDescent="0.4">
      <c r="A31" t="s">
        <v>262</v>
      </c>
      <c r="B31" t="s">
        <v>18</v>
      </c>
      <c r="C31" s="4">
        <f ca="1">IF(ISNUMBER(B31), B31, IFERROR(INDEX('RTC table'!B:B, MATCH(B31, 'RTC table'!A:A, 0)),"" ))</f>
        <v>17.378194254445969</v>
      </c>
    </row>
    <row r="32" spans="1:3" x14ac:dyDescent="0.4">
      <c r="A32" t="s">
        <v>263</v>
      </c>
      <c r="B32" t="s">
        <v>18</v>
      </c>
      <c r="C32" s="4">
        <f ca="1">IF(ISNUMBER(B32), B32, IFERROR(INDEX('RTC table'!B:B, MATCH(B32, 'RTC table'!A:A, 0)),"" ))</f>
        <v>17.378194254445969</v>
      </c>
    </row>
    <row r="33" spans="1:3" x14ac:dyDescent="0.4">
      <c r="A33" t="s">
        <v>264</v>
      </c>
      <c r="B33" t="s">
        <v>19</v>
      </c>
      <c r="C33" s="4">
        <f ca="1">IF(ISNUMBER(B33), B33, IFERROR(INDEX('RTC table'!B:B, MATCH(B33, 'RTC table'!A:A, 0)),"" ))</f>
        <v>348.97595075239411</v>
      </c>
    </row>
    <row r="34" spans="1:3" x14ac:dyDescent="0.4">
      <c r="A34" t="s">
        <v>265</v>
      </c>
      <c r="B34" t="s">
        <v>19</v>
      </c>
      <c r="C34" s="4">
        <f ca="1">IF(ISNUMBER(B34), B34, IFERROR(INDEX('RTC table'!B:B, MATCH(B34, 'RTC table'!A:A, 0)),"" ))</f>
        <v>348.97595075239411</v>
      </c>
    </row>
    <row r="35" spans="1:3" x14ac:dyDescent="0.4">
      <c r="A35" t="s">
        <v>266</v>
      </c>
      <c r="B35" t="s">
        <v>20</v>
      </c>
      <c r="C35" s="4">
        <f ca="1">IF(ISNUMBER(B35), B35, IFERROR(INDEX('RTC table'!B:B, MATCH(B35, 'RTC table'!A:A, 0)),"" ))</f>
        <v>336.16949384404933</v>
      </c>
    </row>
    <row r="36" spans="1:3" x14ac:dyDescent="0.4">
      <c r="A36" t="s">
        <v>267</v>
      </c>
      <c r="B36" t="s">
        <v>20</v>
      </c>
      <c r="C36" s="4">
        <f ca="1">IF(ISNUMBER(B36), B36, IFERROR(INDEX('RTC table'!B:B, MATCH(B36, 'RTC table'!A:A, 0)),"" ))</f>
        <v>336.16949384404933</v>
      </c>
    </row>
    <row r="37" spans="1:3" x14ac:dyDescent="0.4">
      <c r="A37" t="s">
        <v>268</v>
      </c>
      <c r="B37" t="s">
        <v>21</v>
      </c>
      <c r="C37" s="4">
        <f ca="1">IF(ISNUMBER(B37), B37, IFERROR(INDEX('RTC table'!B:B, MATCH(B37, 'RTC table'!A:A, 0)),"" ))</f>
        <v>165.63110807113549</v>
      </c>
    </row>
    <row r="38" spans="1:3" x14ac:dyDescent="0.4">
      <c r="A38" t="s">
        <v>269</v>
      </c>
      <c r="B38" t="s">
        <v>21</v>
      </c>
      <c r="C38" s="4">
        <f ca="1">IF(ISNUMBER(B38), B38, IFERROR(INDEX('RTC table'!B:B, MATCH(B38, 'RTC table'!A:A, 0)),"" ))</f>
        <v>165.63110807113549</v>
      </c>
    </row>
    <row r="39" spans="1:3" x14ac:dyDescent="0.4">
      <c r="A39" t="s">
        <v>270</v>
      </c>
      <c r="B39" t="s">
        <v>22</v>
      </c>
      <c r="C39" s="4">
        <f ca="1">IF(ISNUMBER(B39), B39, IFERROR(INDEX('RTC table'!B:B, MATCH(B39, 'RTC table'!A:A, 0)),"" ))</f>
        <v>187.20355677154589</v>
      </c>
    </row>
    <row r="40" spans="1:3" x14ac:dyDescent="0.4">
      <c r="A40" t="s">
        <v>271</v>
      </c>
      <c r="B40" t="s">
        <v>22</v>
      </c>
      <c r="C40" s="4">
        <f ca="1">IF(ISNUMBER(B40), B40, IFERROR(INDEX('RTC table'!B:B, MATCH(B40, 'RTC table'!A:A, 0)),"" ))</f>
        <v>187.20355677154589</v>
      </c>
    </row>
    <row r="41" spans="1:3" x14ac:dyDescent="0.4">
      <c r="A41" t="s">
        <v>272</v>
      </c>
      <c r="B41" t="s">
        <v>23</v>
      </c>
      <c r="C41" s="4">
        <f ca="1">IF(ISNUMBER(B41), B41, IFERROR(INDEX('RTC table'!B:B, MATCH(B41, 'RTC table'!A:A, 0)),"" ))</f>
        <v>12.764514363885093</v>
      </c>
    </row>
    <row r="42" spans="1:3" x14ac:dyDescent="0.4">
      <c r="A42" t="s">
        <v>273</v>
      </c>
      <c r="B42" t="s">
        <v>23</v>
      </c>
      <c r="C42" s="4">
        <f ca="1">IF(ISNUMBER(B42), B42, IFERROR(INDEX('RTC table'!B:B, MATCH(B42, 'RTC table'!A:A, 0)),"" ))</f>
        <v>12.764514363885093</v>
      </c>
    </row>
    <row r="43" spans="1:3" x14ac:dyDescent="0.4">
      <c r="A43" t="s">
        <v>274</v>
      </c>
      <c r="B43" t="s">
        <v>24</v>
      </c>
      <c r="C43" s="4">
        <f ca="1">IF(ISNUMBER(B43), B43, IFERROR(INDEX('RTC table'!B:B, MATCH(B43, 'RTC table'!A:A, 0)),"" ))</f>
        <v>11.841778385772917</v>
      </c>
    </row>
    <row r="44" spans="1:3" x14ac:dyDescent="0.4">
      <c r="A44" t="s">
        <v>275</v>
      </c>
      <c r="B44" t="s">
        <v>24</v>
      </c>
      <c r="C44" s="4">
        <f ca="1">IF(ISNUMBER(B44), B44, IFERROR(INDEX('RTC table'!B:B, MATCH(B44, 'RTC table'!A:A, 0)),"" ))</f>
        <v>11.841778385772917</v>
      </c>
    </row>
    <row r="45" spans="1:3" x14ac:dyDescent="0.4">
      <c r="A45" t="s">
        <v>163</v>
      </c>
      <c r="B45" t="s">
        <v>25</v>
      </c>
      <c r="C45" s="4">
        <f ca="1">IF(ISNUMBER(B45), B45, IFERROR(INDEX('RTC table'!B:B, MATCH(B45, 'RTC table'!A:A, 0)),"" ))</f>
        <v>318.14818057455545</v>
      </c>
    </row>
    <row r="46" spans="1:3" x14ac:dyDescent="0.4">
      <c r="A46" t="s">
        <v>164</v>
      </c>
      <c r="B46" t="s">
        <v>26</v>
      </c>
      <c r="C46" s="4">
        <f ca="1">IF(ISNUMBER(B46), B46, IFERROR(INDEX('RTC table'!B:B, MATCH(B46, 'RTC table'!A:A, 0)),"" ))</f>
        <v>27.751983584131338</v>
      </c>
    </row>
    <row r="47" spans="1:3" x14ac:dyDescent="0.4">
      <c r="A47" t="s">
        <v>165</v>
      </c>
      <c r="B47" t="s">
        <v>27</v>
      </c>
      <c r="C47" s="4">
        <f ca="1">IF(ISNUMBER(B47), B47, IFERROR(INDEX('RTC table'!B:B, MATCH(B47, 'RTC table'!A:A, 0)),"" ))</f>
        <v>7.0183857729138195</v>
      </c>
    </row>
    <row r="48" spans="1:3" x14ac:dyDescent="0.4">
      <c r="A48" t="s">
        <v>166</v>
      </c>
      <c r="B48" t="s">
        <v>28</v>
      </c>
      <c r="C48" s="4">
        <f ca="1">IF(ISNUMBER(B48), B48, IFERROR(INDEX('RTC table'!B:B, MATCH(B48, 'RTC table'!A:A, 0)),"" ))</f>
        <v>8.2207387140902899</v>
      </c>
    </row>
    <row r="49" spans="1:3" x14ac:dyDescent="0.4">
      <c r="A49" t="s">
        <v>167</v>
      </c>
      <c r="B49" t="s">
        <v>29</v>
      </c>
      <c r="C49" s="4">
        <f ca="1">IF(ISNUMBER(B49), B49, IFERROR(INDEX('RTC table'!B:B, MATCH(B49, 'RTC table'!A:A, 0)),"" ))</f>
        <v>5.5503967168262678</v>
      </c>
    </row>
    <row r="50" spans="1:3" x14ac:dyDescent="0.4">
      <c r="A50" t="s">
        <v>168</v>
      </c>
      <c r="B50" t="s">
        <v>276</v>
      </c>
      <c r="C50" s="4">
        <f ca="1">IF(ISNUMBER(B50), B50, IFERROR(INDEX('RTC table'!B:B, MATCH(B50, 'RTC table'!A:A, 0)),"" ))</f>
        <v>0.1</v>
      </c>
    </row>
    <row r="51" spans="1:3" x14ac:dyDescent="0.4">
      <c r="A51" t="s">
        <v>169</v>
      </c>
      <c r="B51" t="s">
        <v>276</v>
      </c>
      <c r="C51" s="4">
        <f ca="1">IF(ISNUMBER(B51), B51, IFERROR(INDEX('RTC table'!B:B, MATCH(B51, 'RTC table'!A:A, 0)),"" ))</f>
        <v>0.1</v>
      </c>
    </row>
    <row r="52" spans="1:3" x14ac:dyDescent="0.4">
      <c r="A52" t="s">
        <v>170</v>
      </c>
      <c r="B52" t="s">
        <v>277</v>
      </c>
      <c r="C52" s="4">
        <f ca="1">IF(ISNUMBER(B52), B52, IFERROR(INDEX('RTC table'!B:B, MATCH(B52, 'RTC table'!A:A, 0)),"" ))</f>
        <v>0.1</v>
      </c>
    </row>
    <row r="53" spans="1:3" x14ac:dyDescent="0.4">
      <c r="A53" t="s">
        <v>171</v>
      </c>
      <c r="C53" s="4" t="str">
        <f ca="1">IF(ISNUMBER(B53), B53, IFERROR(INDEX('RTC table'!B:B, MATCH(B53, 'RTC table'!A:A, 0)),"" ))</f>
        <v/>
      </c>
    </row>
    <row r="54" spans="1:3" x14ac:dyDescent="0.4">
      <c r="A54" t="s">
        <v>172</v>
      </c>
      <c r="B54" t="s">
        <v>98</v>
      </c>
      <c r="C54" s="4">
        <f ca="1">IF(ISNUMBER(B54), B54, IFERROR(INDEX('RTC table'!B:B, MATCH(B54, 'RTC table'!A:A, 0)),"" ))</f>
        <v>79.309478163413715</v>
      </c>
    </row>
    <row r="55" spans="1:3" x14ac:dyDescent="0.4">
      <c r="A55" t="s">
        <v>173</v>
      </c>
      <c r="B55" t="s">
        <v>124</v>
      </c>
      <c r="C55" s="4">
        <f ca="1">IF(ISNUMBER(B55), B55, IFERROR(INDEX('RTC table'!B:B, MATCH(B55, 'RTC table'!A:A, 0)),"" ))</f>
        <v>27.66425833359089</v>
      </c>
    </row>
    <row r="56" spans="1:3" x14ac:dyDescent="0.4">
      <c r="A56" t="s">
        <v>174</v>
      </c>
      <c r="B56">
        <v>5000</v>
      </c>
      <c r="C56" s="4">
        <f>IF(ISNUMBER(B56), B56, IFERROR(INDEX('RTC table'!B:B, MATCH(B56, 'RTC table'!A:A, 0)),"" ))</f>
        <v>5000</v>
      </c>
    </row>
    <row r="57" spans="1:3" x14ac:dyDescent="0.4">
      <c r="A57" t="s">
        <v>175</v>
      </c>
      <c r="B57">
        <v>5000</v>
      </c>
      <c r="C57" s="4">
        <f>IF(ISNUMBER(B57), B57, IFERROR(INDEX('RTC table'!B:B, MATCH(B57, 'RTC table'!A:A, 0)),"" ))</f>
        <v>5000</v>
      </c>
    </row>
    <row r="58" spans="1:3" x14ac:dyDescent="0.4">
      <c r="A58" t="s">
        <v>176</v>
      </c>
      <c r="B58">
        <v>5</v>
      </c>
      <c r="C58" s="4">
        <f>IF(ISNUMBER(B58), B58, IFERROR(INDEX('RTC table'!B:B, MATCH(B58, 'RTC table'!A:A, 0)),"" ))</f>
        <v>5</v>
      </c>
    </row>
    <row r="59" spans="1:3" x14ac:dyDescent="0.4">
      <c r="A59" t="s">
        <v>177</v>
      </c>
      <c r="B59">
        <v>5000</v>
      </c>
      <c r="C59" s="4">
        <f>IF(ISNUMBER(B59), B59, IFERROR(INDEX('RTC table'!B:B, MATCH(B59, 'RTC table'!A:A, 0)),"" ))</f>
        <v>5000</v>
      </c>
    </row>
    <row r="60" spans="1:3" x14ac:dyDescent="0.4">
      <c r="A60" t="s">
        <v>178</v>
      </c>
      <c r="B60">
        <v>5000</v>
      </c>
      <c r="C60" s="4">
        <f>IF(ISNUMBER(B60), B60, IFERROR(INDEX('RTC table'!B:B, MATCH(B60, 'RTC table'!A:A, 0)),"" ))</f>
        <v>5000</v>
      </c>
    </row>
    <row r="61" spans="1:3" x14ac:dyDescent="0.4">
      <c r="A61" t="s">
        <v>179</v>
      </c>
      <c r="B61" t="s">
        <v>286</v>
      </c>
      <c r="C61" s="4">
        <f ca="1">IF(ISNUMBER(B61), B61, IFERROR(INDEX('RTC table'!B:B, MATCH(B61, 'RTC table'!A:A, 0)),"" ))</f>
        <v>0.1</v>
      </c>
    </row>
    <row r="62" spans="1:3" x14ac:dyDescent="0.4">
      <c r="A62" t="s">
        <v>180</v>
      </c>
      <c r="B62">
        <v>4</v>
      </c>
      <c r="C62" s="4">
        <f>IF(ISNUMBER(B62), B62, IFERROR(INDEX('RTC table'!B:B, MATCH(B62, 'RTC table'!A:A, 0)),"" ))</f>
        <v>4</v>
      </c>
    </row>
    <row r="63" spans="1:3" x14ac:dyDescent="0.4">
      <c r="A63" t="s">
        <v>181</v>
      </c>
      <c r="B63">
        <v>4</v>
      </c>
      <c r="C63" s="4">
        <f>IF(ISNUMBER(B63), B63, IFERROR(INDEX('RTC table'!B:B, MATCH(B63, 'RTC table'!A:A, 0)),"" ))</f>
        <v>4</v>
      </c>
    </row>
    <row r="64" spans="1:3" x14ac:dyDescent="0.4">
      <c r="A64" t="s">
        <v>182</v>
      </c>
      <c r="B64">
        <v>4</v>
      </c>
      <c r="C64" s="4">
        <f>IF(ISNUMBER(B64), B64, IFERROR(INDEX('RTC table'!B:B, MATCH(B64, 'RTC table'!A:A, 0)),"" ))</f>
        <v>4</v>
      </c>
    </row>
    <row r="65" spans="1:3" x14ac:dyDescent="0.4">
      <c r="A65" t="s">
        <v>183</v>
      </c>
      <c r="B65">
        <v>4</v>
      </c>
      <c r="C65" s="4">
        <f>IF(ISNUMBER(B65), B65, IFERROR(INDEX('RTC table'!B:B, MATCH(B65, 'RTC table'!A:A, 0)),"" ))</f>
        <v>4</v>
      </c>
    </row>
    <row r="66" spans="1:3" x14ac:dyDescent="0.4">
      <c r="A66" t="s">
        <v>184</v>
      </c>
      <c r="B66">
        <v>4</v>
      </c>
      <c r="C66" s="4">
        <f>IF(ISNUMBER(B66), B66, IFERROR(INDEX('RTC table'!B:B, MATCH(B66, 'RTC table'!A:A, 0)),"" ))</f>
        <v>4</v>
      </c>
    </row>
    <row r="67" spans="1:3" x14ac:dyDescent="0.4">
      <c r="A67" t="s">
        <v>185</v>
      </c>
      <c r="B67">
        <v>4</v>
      </c>
      <c r="C67" s="4">
        <f>IF(ISNUMBER(B67), B67, IFERROR(INDEX('RTC table'!B:B, MATCH(B67, 'RTC table'!A:A, 0)),"" ))</f>
        <v>4</v>
      </c>
    </row>
    <row r="68" spans="1:3" x14ac:dyDescent="0.4">
      <c r="A68" t="s">
        <v>186</v>
      </c>
      <c r="B68">
        <v>4</v>
      </c>
      <c r="C68" s="4">
        <f>IF(ISNUMBER(B68), B68, IFERROR(INDEX('RTC table'!B:B, MATCH(B68, 'RTC table'!A:A, 0)),"" ))</f>
        <v>4</v>
      </c>
    </row>
    <row r="69" spans="1:3" x14ac:dyDescent="0.4">
      <c r="A69" t="s">
        <v>187</v>
      </c>
      <c r="B69" t="s">
        <v>101</v>
      </c>
      <c r="C69" s="4">
        <f ca="1">IF(ISNUMBER(B69), B69, IFERROR(INDEX('RTC table'!B:B, MATCH(B69, 'RTC table'!A:A, 0)),"" ))</f>
        <v>15.880980072254552</v>
      </c>
    </row>
    <row r="70" spans="1:3" x14ac:dyDescent="0.4">
      <c r="A70" t="s">
        <v>188</v>
      </c>
      <c r="C70" s="4" t="str">
        <f ca="1">IF(ISNUMBER(B70), B70, IFERROR(INDEX('RTC table'!B:B, MATCH(B70, 'RTC table'!A:A, 0)),"" ))</f>
        <v/>
      </c>
    </row>
    <row r="71" spans="1:3" x14ac:dyDescent="0.4">
      <c r="A71" t="s">
        <v>189</v>
      </c>
      <c r="C71" s="4" t="str">
        <f ca="1">IF(ISNUMBER(B71), B71, IFERROR(INDEX('RTC table'!B:B, MATCH(B71, 'RTC table'!A:A, 0)),"" ))</f>
        <v/>
      </c>
    </row>
    <row r="72" spans="1:3" x14ac:dyDescent="0.4">
      <c r="A72" t="s">
        <v>190</v>
      </c>
      <c r="B72" t="s">
        <v>30</v>
      </c>
      <c r="C72" s="4">
        <f ca="1">IF(ISNUMBER(B72), B72, IFERROR(INDEX('RTC table'!B:B, MATCH(B72, 'RTC table'!A:A, 0)),"" ))</f>
        <v>6.2568326773140424</v>
      </c>
    </row>
    <row r="73" spans="1:3" x14ac:dyDescent="0.4">
      <c r="A73" t="s">
        <v>191</v>
      </c>
      <c r="B73" t="s">
        <v>30</v>
      </c>
      <c r="C73" s="4">
        <f ca="1">IF(ISNUMBER(B73), B73, IFERROR(INDEX('RTC table'!B:B, MATCH(B73, 'RTC table'!A:A, 0)),"" ))</f>
        <v>6.2568326773140424</v>
      </c>
    </row>
    <row r="74" spans="1:3" x14ac:dyDescent="0.4">
      <c r="A74" t="s">
        <v>192</v>
      </c>
      <c r="B74" t="s">
        <v>31</v>
      </c>
      <c r="C74" s="4">
        <f ca="1">IF(ISNUMBER(B74), B74, IFERROR(INDEX('RTC table'!B:B, MATCH(B74, 'RTC table'!A:A, 0)),"" ))</f>
        <v>1.8399139257928887</v>
      </c>
    </row>
    <row r="75" spans="1:3" x14ac:dyDescent="0.4">
      <c r="A75" t="s">
        <v>193</v>
      </c>
      <c r="B75" t="s">
        <v>32</v>
      </c>
      <c r="C75" s="4">
        <f ca="1">IF(ISNUMBER(B75), B75, IFERROR(INDEX('RTC table'!B:B, MATCH(B75, 'RTC table'!A:A, 0)),"" ))</f>
        <v>4.872677246901044</v>
      </c>
    </row>
    <row r="76" spans="1:3" x14ac:dyDescent="0.4">
      <c r="A76" t="s">
        <v>194</v>
      </c>
      <c r="B76" t="s">
        <v>33</v>
      </c>
      <c r="C76" s="4">
        <f ca="1">IF(ISNUMBER(B76), B76, IFERROR(INDEX('RTC table'!B:B, MATCH(B76, 'RTC table'!A:A, 0)),"" ))</f>
        <v>2.644524602821583</v>
      </c>
    </row>
    <row r="77" spans="1:3" x14ac:dyDescent="0.4">
      <c r="A77" t="s">
        <v>195</v>
      </c>
      <c r="B77" t="s">
        <v>34</v>
      </c>
      <c r="C77" s="4">
        <f ca="1">IF(ISNUMBER(B77), B77, IFERROR(INDEX('RTC table'!B:B, MATCH(B77, 'RTC table'!A:A, 0)),"" ))</f>
        <v>2.7767508329626618</v>
      </c>
    </row>
    <row r="78" spans="1:3" x14ac:dyDescent="0.4">
      <c r="A78" t="s">
        <v>200</v>
      </c>
      <c r="B78" t="s">
        <v>291</v>
      </c>
      <c r="C78" s="4">
        <f ca="1">IF(ISNUMBER(B78), B78, IFERROR(INDEX('RTC table'!B:B, MATCH(B78, 'RTC table'!A:A, 0)),"" ))</f>
        <v>7.6567427223821509</v>
      </c>
    </row>
    <row r="79" spans="1:3" x14ac:dyDescent="0.4">
      <c r="A79" t="s">
        <v>196</v>
      </c>
      <c r="C79" s="4" t="str">
        <f ca="1">IF(ISNUMBER(B79), B79, IFERROR(INDEX('RTC table'!B:B, MATCH(B79, 'RTC table'!A:A, 0)),"" ))</f>
        <v/>
      </c>
    </row>
    <row r="80" spans="1:3" x14ac:dyDescent="0.4">
      <c r="A80" t="s">
        <v>197</v>
      </c>
      <c r="B80">
        <v>4</v>
      </c>
      <c r="C80" s="4">
        <f>IF(ISNUMBER(B80), B80, IFERROR(INDEX('RTC table'!B:B, MATCH(B80, 'RTC table'!A:A, 0)),"" ))</f>
        <v>4</v>
      </c>
    </row>
    <row r="81" spans="1:3" x14ac:dyDescent="0.4">
      <c r="A81" t="s">
        <v>198</v>
      </c>
      <c r="B81" t="s">
        <v>35</v>
      </c>
      <c r="C81" s="4">
        <f ca="1">IF(ISNUMBER(B81), B81, IFERROR(INDEX('RTC table'!B:B, MATCH(B81, 'RTC table'!A:A, 0)),"" ))</f>
        <v>78.99656912084113</v>
      </c>
    </row>
    <row r="82" spans="1:3" x14ac:dyDescent="0.4">
      <c r="A82" t="s">
        <v>199</v>
      </c>
      <c r="B82">
        <v>2</v>
      </c>
      <c r="C82" s="4">
        <f>IF(ISNUMBER(B82), B82, IFERROR(INDEX('RTC table'!B:B, MATCH(B82, 'RTC table'!A:A, 0)),"" ))</f>
        <v>2</v>
      </c>
    </row>
    <row r="83" spans="1:3" x14ac:dyDescent="0.4">
      <c r="A83" t="s">
        <v>292</v>
      </c>
      <c r="B83" t="s">
        <v>36</v>
      </c>
      <c r="C83" s="4">
        <f ca="1">IF(ISNUMBER(B83), B83, IFERROR(INDEX('RTC table'!B:B, MATCH(B83, 'RTC table'!A:A, 0)),"" ))</f>
        <v>17.40288318755626</v>
      </c>
    </row>
    <row r="84" spans="1:3" x14ac:dyDescent="0.4">
      <c r="A84" t="s">
        <v>293</v>
      </c>
      <c r="B84" t="s">
        <v>38</v>
      </c>
      <c r="C84" s="4">
        <f ca="1">IF(ISNUMBER(B84), B84, IFERROR(INDEX('RTC table'!B:B, MATCH(B84, 'RTC table'!A:A, 0)),"" ))</f>
        <v>13.404619975475429</v>
      </c>
    </row>
    <row r="85" spans="1:3" x14ac:dyDescent="0.4">
      <c r="A85" t="s">
        <v>294</v>
      </c>
      <c r="B85" t="s">
        <v>37</v>
      </c>
      <c r="C85" s="4">
        <f ca="1">IF(ISNUMBER(B85), B85, IFERROR(INDEX('RTC table'!B:B, MATCH(B85, 'RTC table'!A:A, 0)),"" ))</f>
        <v>11.14726858480469</v>
      </c>
    </row>
    <row r="86" spans="1:3" x14ac:dyDescent="0.4">
      <c r="A86" t="s">
        <v>201</v>
      </c>
      <c r="B86" t="s">
        <v>41</v>
      </c>
      <c r="C86" s="4">
        <f ca="1">IF(ISNUMBER(B86), B86, IFERROR(INDEX('RTC table'!B:B, MATCH(B86, 'RTC table'!A:A, 0)),"" ))</f>
        <v>10422.682352941179</v>
      </c>
    </row>
    <row r="87" spans="1:3" x14ac:dyDescent="0.4">
      <c r="A87" t="s">
        <v>202</v>
      </c>
      <c r="B87" t="s">
        <v>42</v>
      </c>
      <c r="C87" s="4">
        <f ca="1">IF(ISNUMBER(B87), B87, IFERROR(INDEX('RTC table'!B:B, MATCH(B87, 'RTC table'!A:A, 0)),"" ))</f>
        <v>5993.4608907128741</v>
      </c>
    </row>
    <row r="88" spans="1:3" x14ac:dyDescent="0.4">
      <c r="A88" t="s">
        <v>295</v>
      </c>
      <c r="B88" t="s">
        <v>296</v>
      </c>
      <c r="C88" s="4">
        <f ca="1">IF(ISNUMBER(B88), B88, IFERROR(INDEX('RTC table'!B:B, MATCH(B88, 'RTC table'!A:A, 0)),"" ))</f>
        <v>1.9561027462557505</v>
      </c>
    </row>
    <row r="89" spans="1:3" x14ac:dyDescent="0.4">
      <c r="A89" t="s">
        <v>297</v>
      </c>
      <c r="B89" t="s">
        <v>298</v>
      </c>
      <c r="C89" s="4">
        <f ca="1">IF(ISNUMBER(B89), B89, IFERROR(INDEX('RTC table'!B:B, MATCH(B89, 'RTC table'!A:A, 0)),"" ))</f>
        <v>2.9213607858494646</v>
      </c>
    </row>
    <row r="90" spans="1:3" x14ac:dyDescent="0.4">
      <c r="A90" t="s">
        <v>203</v>
      </c>
      <c r="C90" s="4" t="str">
        <f ca="1">IF(ISNUMBER(B90), B90, IFERROR(INDEX('RTC table'!B:B, MATCH(B90, 'RTC table'!A:A, 0)),"" ))</f>
        <v/>
      </c>
    </row>
    <row r="91" spans="1:3" x14ac:dyDescent="0.4">
      <c r="A91" t="s">
        <v>204</v>
      </c>
      <c r="C91" s="4" t="str">
        <f ca="1">IF(ISNUMBER(B91), B91, IFERROR(INDEX('RTC table'!B:B, MATCH(B91, 'RTC table'!A:A, 0)),"" ))</f>
        <v/>
      </c>
    </row>
    <row r="92" spans="1:3" x14ac:dyDescent="0.4">
      <c r="A92" t="s">
        <v>205</v>
      </c>
      <c r="B92" t="s">
        <v>39</v>
      </c>
      <c r="C92" s="4">
        <f ca="1">IF(ISNUMBER(B92), B92, IFERROR(INDEX('RTC table'!B:B, MATCH(B92, 'RTC table'!A:A, 0)),"" ))</f>
        <v>0.81781424764145938</v>
      </c>
    </row>
    <row r="93" spans="1:3" x14ac:dyDescent="0.4">
      <c r="A93" t="s">
        <v>206</v>
      </c>
      <c r="B93" t="s">
        <v>40</v>
      </c>
      <c r="C93" s="4">
        <f ca="1">IF(ISNUMBER(B93), B93, IFERROR(INDEX('RTC table'!B:B, MATCH(B93, 'RTC table'!A:A, 0)),"" ))</f>
        <v>0.52213767782085707</v>
      </c>
    </row>
    <row r="94" spans="1:3" x14ac:dyDescent="0.4">
      <c r="A94" t="s">
        <v>207</v>
      </c>
      <c r="B94" t="s">
        <v>299</v>
      </c>
      <c r="C94" s="4">
        <f ca="1">IF(ISNUMBER(B94), B94, IFERROR(INDEX('RTC table'!B:B, MATCH(B94, 'RTC table'!A:A, 0)),"" ))</f>
        <v>0.65141330812358667</v>
      </c>
    </row>
    <row r="95" spans="1:3" x14ac:dyDescent="0.4">
      <c r="A95" t="s">
        <v>208</v>
      </c>
      <c r="B95" t="s">
        <v>299</v>
      </c>
      <c r="C95" s="4">
        <f ca="1">IF(ISNUMBER(B95), B95, IFERROR(INDEX('RTC table'!B:B, MATCH(B95, 'RTC table'!A:A, 0)),"" ))</f>
        <v>0.65141330812358667</v>
      </c>
    </row>
    <row r="96" spans="1:3" x14ac:dyDescent="0.4">
      <c r="A96" t="s">
        <v>209</v>
      </c>
      <c r="B96" t="s">
        <v>300</v>
      </c>
      <c r="C96" s="4">
        <f ca="1">IF(ISNUMBER(B96), B96, IFERROR(INDEX('RTC table'!B:B, MATCH(B96, 'RTC table'!A:A, 0)),"" ))</f>
        <v>2.9092190694732518</v>
      </c>
    </row>
    <row r="97" spans="1:3" x14ac:dyDescent="0.4">
      <c r="A97" t="s">
        <v>210</v>
      </c>
      <c r="B97" t="s">
        <v>301</v>
      </c>
      <c r="C97" s="4">
        <f ca="1">IF(ISNUMBER(B97), B97, IFERROR(INDEX('RTC table'!B:B, MATCH(B97, 'RTC table'!A:A, 0)),"" ))</f>
        <v>0.630861797665204</v>
      </c>
    </row>
    <row r="98" spans="1:3" x14ac:dyDescent="0.4">
      <c r="A98" t="s">
        <v>211</v>
      </c>
      <c r="B98" t="s">
        <v>302</v>
      </c>
      <c r="C98" s="4">
        <f ca="1">IF(ISNUMBER(B98), B98, IFERROR(INDEX('RTC table'!B:B, MATCH(B98, 'RTC table'!A:A, 0)),"" ))</f>
        <v>0.64412083667061193</v>
      </c>
    </row>
    <row r="99" spans="1:3" x14ac:dyDescent="0.4">
      <c r="A99" t="s">
        <v>212</v>
      </c>
      <c r="B99" t="s">
        <v>303</v>
      </c>
      <c r="C99" s="4">
        <f ca="1">IF(ISNUMBER(B99), B99, IFERROR(INDEX('RTC table'!B:B, MATCH(B99, 'RTC table'!A:A, 0)),"" ))</f>
        <v>3.0324910639424574</v>
      </c>
    </row>
    <row r="100" spans="1:3" x14ac:dyDescent="0.4">
      <c r="A100" t="s">
        <v>213</v>
      </c>
      <c r="B100" t="s">
        <v>304</v>
      </c>
      <c r="C100" s="4">
        <f ca="1">IF(ISNUMBER(B100), B100, IFERROR(INDEX('RTC table'!B:B, MATCH(B100, 'RTC table'!A:A, 0)),"" ))</f>
        <v>0.44324639573867874</v>
      </c>
    </row>
    <row r="101" spans="1:3" x14ac:dyDescent="0.4">
      <c r="A101" t="s">
        <v>214</v>
      </c>
      <c r="B101" t="s">
        <v>305</v>
      </c>
      <c r="C101" s="4">
        <f ca="1">IF(ISNUMBER(B101), B101, IFERROR(INDEX('RTC table'!B:B, MATCH(B101, 'RTC table'!A:A, 0)),"" ))</f>
        <v>5.07462872032775</v>
      </c>
    </row>
    <row r="102" spans="1:3" x14ac:dyDescent="0.4">
      <c r="A102" t="s">
        <v>215</v>
      </c>
      <c r="B102" t="s">
        <v>306</v>
      </c>
      <c r="C102" s="4">
        <f ca="1">IF(ISNUMBER(B102), B102, IFERROR(INDEX('RTC table'!B:B, MATCH(B102, 'RTC table'!A:A, 0)),"" ))</f>
        <v>11.390571950553932</v>
      </c>
    </row>
    <row r="103" spans="1:3" x14ac:dyDescent="0.4">
      <c r="A103" t="s">
        <v>216</v>
      </c>
      <c r="B103" t="s">
        <v>307</v>
      </c>
      <c r="C103" s="4">
        <f ca="1">IF(ISNUMBER(B103), B103, IFERROR(INDEX('RTC table'!B:B, MATCH(B103, 'RTC table'!A:A, 0)),"" ))</f>
        <v>1.1108390096609804</v>
      </c>
    </row>
    <row r="104" spans="1:3" x14ac:dyDescent="0.4">
      <c r="A104" t="s">
        <v>217</v>
      </c>
      <c r="B104" t="s">
        <v>43</v>
      </c>
      <c r="C104" s="4">
        <f ca="1">IF(ISNUMBER(B104), B104, IFERROR(INDEX('RTC table'!B:B, MATCH(B104, 'RTC table'!A:A, 0)),"" ))</f>
        <v>0.97930916552667591</v>
      </c>
    </row>
    <row r="105" spans="1:3" x14ac:dyDescent="0.4">
      <c r="A105" t="s">
        <v>218</v>
      </c>
      <c r="B105" t="s">
        <v>44</v>
      </c>
      <c r="C105" s="4">
        <f ca="1">IF(ISNUMBER(B105), B105, IFERROR(INDEX('RTC table'!B:B, MATCH(B105, 'RTC table'!A:A, 0)),"" ))</f>
        <v>1</v>
      </c>
    </row>
    <row r="106" spans="1:3" x14ac:dyDescent="0.4">
      <c r="A106" t="s">
        <v>219</v>
      </c>
      <c r="B106" t="s">
        <v>332</v>
      </c>
      <c r="C106" s="4">
        <f ca="1">IF(ISNUMBER(B106), B106, IFERROR(INDEX('RTC table'!B:B, MATCH(B106, 'RTC table'!A:A, 0)),"" ))</f>
        <v>1.0395006839945282</v>
      </c>
    </row>
    <row r="107" spans="1:3" x14ac:dyDescent="0.4">
      <c r="A107" t="s">
        <v>220</v>
      </c>
      <c r="B107" t="s">
        <v>46</v>
      </c>
      <c r="C107" s="4">
        <f ca="1">IF(ISNUMBER(B107), B107, IFERROR(INDEX('RTC table'!B:B, MATCH(B107, 'RTC table'!A:A, 0)),"" ))</f>
        <v>1.0224008207934339</v>
      </c>
    </row>
    <row r="108" spans="1:3" x14ac:dyDescent="0.4">
      <c r="A108" t="s">
        <v>221</v>
      </c>
      <c r="B108" t="s">
        <v>326</v>
      </c>
      <c r="C108" s="4">
        <f ca="1">IF(ISNUMBER(B108), B108, IFERROR(INDEX('RTC table'!B:B, MATCH(B108, 'RTC table'!A:A, 0)),"" ))</f>
        <v>1.2669288645690837</v>
      </c>
    </row>
    <row r="109" spans="1:3" x14ac:dyDescent="0.4">
      <c r="A109" t="s">
        <v>222</v>
      </c>
      <c r="B109" t="s">
        <v>47</v>
      </c>
      <c r="C109" s="4">
        <f ca="1">IF(ISNUMBER(B109), B109, IFERROR(INDEX('RTC table'!B:B, MATCH(B109, 'RTC table'!A:A, 0)),"" ))</f>
        <v>1.0049589603283176</v>
      </c>
    </row>
    <row r="110" spans="1:3" x14ac:dyDescent="0.4">
      <c r="A110" t="s">
        <v>223</v>
      </c>
      <c r="B110" t="s">
        <v>48</v>
      </c>
      <c r="C110" s="4">
        <f ca="1">IF(ISNUMBER(B110), B110, IFERROR(INDEX('RTC table'!B:B, MATCH(B110, 'RTC table'!A:A, 0)),"" ))</f>
        <v>0.9546853625170999</v>
      </c>
    </row>
    <row r="111" spans="1:3" x14ac:dyDescent="0.4">
      <c r="A111" t="s">
        <v>224</v>
      </c>
      <c r="B111" t="s">
        <v>49</v>
      </c>
      <c r="C111" s="4">
        <f ca="1">IF(ISNUMBER(B111), B111, IFERROR(INDEX('RTC table'!B:B, MATCH(B111, 'RTC table'!A:A, 0)),"" ))</f>
        <v>1.0066689466484271</v>
      </c>
    </row>
    <row r="112" spans="1:3" x14ac:dyDescent="0.4">
      <c r="A112" t="s">
        <v>225</v>
      </c>
      <c r="B112" t="s">
        <v>50</v>
      </c>
      <c r="C112" s="4">
        <f ca="1">IF(ISNUMBER(B112), B112, IFERROR(INDEX('RTC table'!B:B, MATCH(B112, 'RTC table'!A:A, 0)),"" ))</f>
        <v>0.45639534883720939</v>
      </c>
    </row>
    <row r="113" spans="1:5" x14ac:dyDescent="0.4">
      <c r="A113" t="s">
        <v>226</v>
      </c>
      <c r="B113" t="s">
        <v>51</v>
      </c>
      <c r="C113" s="4">
        <f ca="1">IF(ISNUMBER(B113), B113, IFERROR(INDEX('RTC table'!B:B, MATCH(B113, 'RTC table'!A:A, 0)),"" ))</f>
        <v>0.49846101231190143</v>
      </c>
    </row>
    <row r="114" spans="1:5" x14ac:dyDescent="0.4">
      <c r="A114" t="s">
        <v>227</v>
      </c>
      <c r="B114" t="s">
        <v>52</v>
      </c>
      <c r="C114" s="4">
        <f ca="1">IF(ISNUMBER(B114), B114, IFERROR(INDEX('RTC table'!B:B, MATCH(B114, 'RTC table'!A:A, 0)),"" ))</f>
        <v>0.42664158686730497</v>
      </c>
    </row>
    <row r="115" spans="1:5" x14ac:dyDescent="0.4">
      <c r="A115" t="s">
        <v>228</v>
      </c>
      <c r="B115" t="s">
        <v>53</v>
      </c>
      <c r="C115" s="4">
        <f ca="1">IF(ISNUMBER(B115), B115, IFERROR(INDEX('RTC table'!B:B, MATCH(B115, 'RTC table'!A:A, 0)),"" ))</f>
        <v>0.71220930232558144</v>
      </c>
    </row>
    <row r="116" spans="1:5" x14ac:dyDescent="0.4">
      <c r="A116" t="s">
        <v>229</v>
      </c>
      <c r="B116" t="s">
        <v>54</v>
      </c>
      <c r="C116" s="4">
        <f ca="1">IF(ISNUMBER(B116), B116, IFERROR(INDEX('RTC table'!B:B, MATCH(B116, 'RTC table'!A:A, 0)),"" ))</f>
        <v>0.59165526675786584</v>
      </c>
    </row>
    <row r="117" spans="1:5" x14ac:dyDescent="0.4">
      <c r="A117" t="s">
        <v>230</v>
      </c>
      <c r="B117" t="s">
        <v>55</v>
      </c>
      <c r="C117" s="4">
        <f ca="1">IF(ISNUMBER(B117), B117, IFERROR(INDEX('RTC table'!B:B, MATCH(B117, 'RTC table'!A:A, 0)),"" ))</f>
        <v>0.530437756497948</v>
      </c>
    </row>
    <row r="118" spans="1:5" x14ac:dyDescent="0.4">
      <c r="A118" t="s">
        <v>231</v>
      </c>
      <c r="B118" t="s">
        <v>56</v>
      </c>
      <c r="C118" s="4">
        <f ca="1">IF(ISNUMBER(B118), B118, IFERROR(INDEX('RTC table'!B:B, MATCH(B118, 'RTC table'!A:A, 0)),"" ))</f>
        <v>0.90235978112175119</v>
      </c>
      <c r="D118">
        <v>3.8E-3</v>
      </c>
      <c r="E118" s="3">
        <v>1.1000000000000001</v>
      </c>
    </row>
    <row r="119" spans="1:5" x14ac:dyDescent="0.4">
      <c r="A119" t="s">
        <v>232</v>
      </c>
      <c r="B119" t="s">
        <v>57</v>
      </c>
      <c r="C119" s="4">
        <f ca="1">IF(ISNUMBER(B119), B119, IFERROR(INDEX('RTC table'!B:B, MATCH(B119, 'RTC table'!A:A, 0)),"" ))</f>
        <v>1.3565321477428181</v>
      </c>
    </row>
    <row r="120" spans="1:5" x14ac:dyDescent="0.4">
      <c r="A120" t="s">
        <v>233</v>
      </c>
      <c r="B120" t="s">
        <v>58</v>
      </c>
      <c r="C120" s="4">
        <f ca="1">IF(ISNUMBER(B120), B120, IFERROR(INDEX('RTC table'!B:B, MATCH(B120, 'RTC table'!A:A, 0)),"" ))</f>
        <v>0.51282489740082093</v>
      </c>
    </row>
    <row r="121" spans="1:5" x14ac:dyDescent="0.4">
      <c r="A121" t="s">
        <v>308</v>
      </c>
      <c r="B121" t="s">
        <v>59</v>
      </c>
      <c r="C121" s="4">
        <f ca="1">IF(ISNUMBER(B121), B121, IFERROR(INDEX('RTC table'!B:B, MATCH(B121, 'RTC table'!A:A, 0)),"" ))</f>
        <v>0.79565663474692205</v>
      </c>
    </row>
    <row r="122" spans="1:5" x14ac:dyDescent="0.4">
      <c r="A122" t="s">
        <v>309</v>
      </c>
      <c r="B122" t="s">
        <v>60</v>
      </c>
      <c r="C122" s="4">
        <f ca="1">IF(ISNUMBER(B122), B122, IFERROR(INDEX('RTC table'!B:B, MATCH(B122, 'RTC table'!A:A, 0)),"" ))</f>
        <v>0.70383036935704513</v>
      </c>
    </row>
    <row r="123" spans="1:5" x14ac:dyDescent="0.4">
      <c r="A123" t="s">
        <v>310</v>
      </c>
      <c r="B123" t="s">
        <v>61</v>
      </c>
      <c r="C123" s="4">
        <f ca="1">IF(ISNUMBER(B123), B123, IFERROR(INDEX('RTC table'!B:B, MATCH(B123, 'RTC table'!A:A, 0)),"" ))</f>
        <v>0.76145690834473334</v>
      </c>
    </row>
    <row r="124" spans="1:5" x14ac:dyDescent="0.4">
      <c r="A124" t="s">
        <v>311</v>
      </c>
      <c r="B124" t="s">
        <v>62</v>
      </c>
      <c r="C124" s="4">
        <f ca="1">IF(ISNUMBER(B124), B124, IFERROR(INDEX('RTC table'!B:B, MATCH(B124, 'RTC table'!A:A, 0)),"" ))</f>
        <v>0.77513679890560883</v>
      </c>
    </row>
    <row r="125" spans="1:5" x14ac:dyDescent="0.4">
      <c r="A125" t="s">
        <v>312</v>
      </c>
      <c r="B125" t="s">
        <v>63</v>
      </c>
      <c r="C125" s="4">
        <f ca="1">IF(ISNUMBER(B125), B125, IFERROR(INDEX('RTC table'!B:B, MATCH(B125, 'RTC table'!A:A, 0)),"" ))</f>
        <v>2.51453488372093</v>
      </c>
    </row>
    <row r="126" spans="1:5" x14ac:dyDescent="0.4">
      <c r="A126" t="s">
        <v>313</v>
      </c>
      <c r="B126" t="s">
        <v>64</v>
      </c>
      <c r="C126" s="4">
        <f ca="1">IF(ISNUMBER(B126), B126, IFERROR(INDEX('RTC table'!B:B, MATCH(B126, 'RTC table'!A:A, 0)),"" ))</f>
        <v>2.7676128590971274</v>
      </c>
    </row>
    <row r="127" spans="1:5" x14ac:dyDescent="0.4">
      <c r="A127" t="s">
        <v>314</v>
      </c>
      <c r="B127" t="s">
        <v>65</v>
      </c>
      <c r="C127" s="4">
        <f ca="1">IF(ISNUMBER(B127), B127, IFERROR(INDEX('RTC table'!B:B, MATCH(B127, 'RTC table'!A:A, 0)),"" ))</f>
        <v>2.9345075239398088</v>
      </c>
    </row>
    <row r="128" spans="1:5" x14ac:dyDescent="0.4">
      <c r="A128" t="s">
        <v>315</v>
      </c>
      <c r="B128" t="s">
        <v>66</v>
      </c>
      <c r="C128" s="4">
        <f ca="1">IF(ISNUMBER(B128), B128, IFERROR(INDEX('RTC table'!B:B, MATCH(B128, 'RTC table'!A:A, 0)),"" ))</f>
        <v>0.78095075239398082</v>
      </c>
    </row>
    <row r="129" spans="1:5" x14ac:dyDescent="0.4">
      <c r="A129" t="s">
        <v>316</v>
      </c>
      <c r="B129" t="s">
        <v>67</v>
      </c>
      <c r="C129" s="4">
        <f ca="1">IF(ISNUMBER(B129), B129, IFERROR(INDEX('RTC table'!B:B, MATCH(B129, 'RTC table'!A:A, 0)),"" ))</f>
        <v>0.87465800273597805</v>
      </c>
    </row>
    <row r="130" spans="1:5" x14ac:dyDescent="0.4">
      <c r="A130" t="s">
        <v>317</v>
      </c>
      <c r="B130" t="s">
        <v>68</v>
      </c>
      <c r="C130" s="4">
        <f ca="1">IF(ISNUMBER(B130), B130, IFERROR(INDEX('RTC table'!B:B, MATCH(B130, 'RTC table'!A:A, 0)),"" ))</f>
        <v>1.149965800273598</v>
      </c>
    </row>
    <row r="131" spans="1:5" x14ac:dyDescent="0.4">
      <c r="A131" t="s">
        <v>318</v>
      </c>
      <c r="B131" t="s">
        <v>69</v>
      </c>
      <c r="C131" s="4">
        <f ca="1">IF(ISNUMBER(B131), B131, IFERROR(INDEX('RTC table'!B:B, MATCH(B131, 'RTC table'!A:A, 0)),"" ))</f>
        <v>1.1944254445964433</v>
      </c>
    </row>
    <row r="132" spans="1:5" x14ac:dyDescent="0.4">
      <c r="A132" t="s">
        <v>319</v>
      </c>
      <c r="B132" t="s">
        <v>70</v>
      </c>
      <c r="C132" s="4">
        <f ca="1">IF(ISNUMBER(B132), B132, IFERROR(INDEX('RTC table'!B:B, MATCH(B132, 'RTC table'!A:A, 0)),"" ))</f>
        <v>0.98375512995896031</v>
      </c>
    </row>
    <row r="133" spans="1:5" x14ac:dyDescent="0.4">
      <c r="A133" t="s">
        <v>320</v>
      </c>
      <c r="B133" t="s">
        <v>71</v>
      </c>
      <c r="C133" s="4">
        <f ca="1">IF(ISNUMBER(B133), B133, IFERROR(INDEX('RTC table'!B:B, MATCH(B133, 'RTC table'!A:A, 0)),"" ))</f>
        <v>1.0817373461012312</v>
      </c>
    </row>
    <row r="134" spans="1:5" x14ac:dyDescent="0.4">
      <c r="A134" t="s">
        <v>321</v>
      </c>
      <c r="B134" t="s">
        <v>72</v>
      </c>
      <c r="C134" s="4">
        <f ca="1">IF(ISNUMBER(B134), B134, IFERROR(INDEX('RTC table'!B:B, MATCH(B134, 'RTC table'!A:A, 0)),"" ))</f>
        <v>1.1328659370725036</v>
      </c>
    </row>
    <row r="135" spans="1:5" x14ac:dyDescent="0.4">
      <c r="A135" t="s">
        <v>234</v>
      </c>
      <c r="B135" t="s">
        <v>465</v>
      </c>
      <c r="C135" s="4">
        <f ca="1">IF(ISNUMBER(B135), B135, IFERROR(INDEX('RTC table'!B:B, MATCH(B135, 'RTC table'!A:A, 0)),"" ))</f>
        <v>0.55221099230306114</v>
      </c>
    </row>
    <row r="136" spans="1:5" x14ac:dyDescent="0.4">
      <c r="A136" t="s">
        <v>235</v>
      </c>
      <c r="B136" t="s">
        <v>73</v>
      </c>
      <c r="C136" s="4">
        <f ca="1">IF(ISNUMBER(B136), B136, IFERROR(INDEX('RTC table'!B:B, MATCH(B136, 'RTC table'!A:A, 0)),"" ))</f>
        <v>3.3577434476758503</v>
      </c>
    </row>
    <row r="137" spans="1:5" x14ac:dyDescent="0.4">
      <c r="A137" t="s">
        <v>236</v>
      </c>
      <c r="B137" t="s">
        <v>74</v>
      </c>
      <c r="C137" s="4">
        <f ca="1">IF(ISNUMBER(B137), B137, IFERROR(INDEX('RTC table'!B:B, MATCH(B137, 'RTC table'!A:A, 0)),"" ))</f>
        <v>3.4756070952269211</v>
      </c>
    </row>
    <row r="138" spans="1:5" x14ac:dyDescent="0.4">
      <c r="A138" t="s">
        <v>237</v>
      </c>
      <c r="B138" t="s">
        <v>75</v>
      </c>
      <c r="C138" s="4">
        <f ca="1">IF(ISNUMBER(B138), B138, IFERROR(INDEX('RTC table'!B:B, MATCH(B138, 'RTC table'!A:A, 0)),"" ))</f>
        <v>10.056784252671587</v>
      </c>
    </row>
    <row r="139" spans="1:5" x14ac:dyDescent="0.4">
      <c r="A139" t="s">
        <v>238</v>
      </c>
      <c r="B139" t="s">
        <v>76</v>
      </c>
      <c r="C139" s="4">
        <f ca="1">IF(ISNUMBER(B139), B139, IFERROR(INDEX('RTC table'!B:B, MATCH(B139, 'RTC table'!A:A, 0)),"" ))</f>
        <v>6.7154868953517006</v>
      </c>
    </row>
    <row r="140" spans="1:5" x14ac:dyDescent="0.4">
      <c r="A140" t="s">
        <v>239</v>
      </c>
      <c r="B140" t="s">
        <v>77</v>
      </c>
      <c r="C140" s="4">
        <f ca="1">IF(ISNUMBER(B140), B140, IFERROR(INDEX('RTC table'!B:B, MATCH(B140, 'RTC table'!A:A, 0)),"" ))</f>
        <v>16.361118889124207</v>
      </c>
    </row>
    <row r="141" spans="1:5" x14ac:dyDescent="0.4">
      <c r="A141" t="s">
        <v>240</v>
      </c>
      <c r="B141" t="s">
        <v>78</v>
      </c>
      <c r="C141" s="4">
        <f ca="1">IF(ISNUMBER(B141), B141, IFERROR(INDEX('RTC table'!B:B, MATCH(B141, 'RTC table'!A:A, 0)),"" ))</f>
        <v>4.5583080436611754</v>
      </c>
    </row>
    <row r="142" spans="1:5" x14ac:dyDescent="0.4">
      <c r="A142" t="s">
        <v>241</v>
      </c>
      <c r="B142" t="s">
        <v>83</v>
      </c>
      <c r="C142" s="4">
        <f ca="1">IF(ISNUMBER(B142), B142, IFERROR(INDEX('RTC table'!B:B, MATCH(B142, 'RTC table'!A:A, 0)),"" ))</f>
        <v>4.2074581160672899</v>
      </c>
    </row>
    <row r="143" spans="1:5" x14ac:dyDescent="0.4">
      <c r="A143" t="s">
        <v>242</v>
      </c>
      <c r="B143" t="s">
        <v>84</v>
      </c>
      <c r="C143" s="4">
        <f ca="1">IF(ISNUMBER(B143), B143, IFERROR(INDEX('RTC table'!B:B, MATCH(B143, 'RTC table'!A:A, 0)),"" ))</f>
        <v>3.4098227338030669</v>
      </c>
    </row>
    <row r="144" spans="1:5" x14ac:dyDescent="0.4">
      <c r="A144" t="s">
        <v>243</v>
      </c>
      <c r="B144" t="s">
        <v>79</v>
      </c>
      <c r="C144" s="4">
        <f ca="1">IF(ISNUMBER(B144), B144, IFERROR(INDEX('RTC table'!B:B, MATCH(B144, 'RTC table'!A:A, 0)),"" ))</f>
        <v>6.4194572689443596</v>
      </c>
      <c r="D144">
        <v>1.0699999999999999E-2</v>
      </c>
      <c r="E144" s="3">
        <v>6.4</v>
      </c>
    </row>
    <row r="145" spans="1:7" x14ac:dyDescent="0.4">
      <c r="A145" t="s">
        <v>244</v>
      </c>
      <c r="B145" t="s">
        <v>80</v>
      </c>
      <c r="C145" s="4">
        <f ca="1">IF(ISNUMBER(B145), B145, IFERROR(INDEX('RTC table'!B:B, MATCH(B145, 'RTC table'!A:A, 0)),"" ))</f>
        <v>3.656514089142517</v>
      </c>
    </row>
    <row r="146" spans="1:7" x14ac:dyDescent="0.4">
      <c r="A146" t="s">
        <v>245</v>
      </c>
      <c r="B146" t="s">
        <v>85</v>
      </c>
      <c r="C146" s="4">
        <f ca="1">IF(ISNUMBER(B146), B146, IFERROR(INDEX('RTC table'!B:B, MATCH(B146, 'RTC table'!A:A, 0)),"" ))</f>
        <v>2.8466453013542852</v>
      </c>
    </row>
    <row r="147" spans="1:7" x14ac:dyDescent="0.4">
      <c r="A147" t="s">
        <v>246</v>
      </c>
      <c r="B147" t="s">
        <v>86</v>
      </c>
      <c r="C147" s="4">
        <f ca="1">IF(ISNUMBER(B147), B147, IFERROR(INDEX('RTC table'!B:B, MATCH(B147, 'RTC table'!A:A, 0)),"" ))</f>
        <v>63.921434633443859</v>
      </c>
      <c r="D147">
        <v>1</v>
      </c>
      <c r="E147" s="3">
        <v>2.8</v>
      </c>
    </row>
    <row r="148" spans="1:7" x14ac:dyDescent="0.4">
      <c r="A148" t="s">
        <v>247</v>
      </c>
      <c r="B148" t="s">
        <v>87</v>
      </c>
      <c r="C148" s="4">
        <f ca="1">IF(ISNUMBER(B148), B148, IFERROR(INDEX('RTC table'!B:B, MATCH(B148, 'RTC table'!A:A, 0)),"" ))</f>
        <v>1.9773966855716822</v>
      </c>
    </row>
    <row r="149" spans="1:7" x14ac:dyDescent="0.4">
      <c r="A149" t="s">
        <v>248</v>
      </c>
      <c r="B149" t="s">
        <v>88</v>
      </c>
      <c r="C149" s="4">
        <f ca="1">IF(ISNUMBER(B149), B149, IFERROR(INDEX('RTC table'!B:B, MATCH(B149, 'RTC table'!A:A, 0)),"" ))</f>
        <v>63.152926751278436</v>
      </c>
      <c r="D149">
        <v>1.0900000000000001</v>
      </c>
      <c r="E149" s="3">
        <v>2.8</v>
      </c>
    </row>
    <row r="150" spans="1:7" x14ac:dyDescent="0.4">
      <c r="A150" t="s">
        <v>249</v>
      </c>
      <c r="B150" t="s">
        <v>81</v>
      </c>
      <c r="C150" s="4">
        <f ca="1">IF(ISNUMBER(B150), B150, IFERROR(INDEX('RTC table'!B:B, MATCH(B150, 'RTC table'!A:A, 0)),"" ))</f>
        <v>7.1266391542507836</v>
      </c>
    </row>
    <row r="151" spans="1:7" x14ac:dyDescent="0.4">
      <c r="A151" t="s">
        <v>250</v>
      </c>
      <c r="B151" t="s">
        <v>82</v>
      </c>
      <c r="C151" s="4">
        <f ca="1">IF(ISNUMBER(B151), B151, IFERROR(INDEX('RTC table'!B:B, MATCH(B151, 'RTC table'!A:A, 0)),"" ))</f>
        <v>6.7483790760636264</v>
      </c>
    </row>
    <row r="152" spans="1:7" x14ac:dyDescent="0.4">
      <c r="A152" t="s">
        <v>251</v>
      </c>
      <c r="B152" t="s">
        <v>99</v>
      </c>
      <c r="C152" s="4">
        <f ca="1">IF(ISNUMBER(B152), B152, IFERROR(INDEX('RTC table'!B:B, MATCH(B152, 'RTC table'!A:A, 0)),"" ))-C153</f>
        <v>7.652860268295024</v>
      </c>
      <c r="F152" t="s">
        <v>455</v>
      </c>
      <c r="G152" t="s">
        <v>500</v>
      </c>
    </row>
    <row r="153" spans="1:7" x14ac:dyDescent="0.4">
      <c r="A153" t="s">
        <v>252</v>
      </c>
      <c r="B153" t="s">
        <v>322</v>
      </c>
      <c r="C153" s="4">
        <f ca="1">IF(ISNUMBER(B153), B153, IFERROR(INDEX('RTC table'!B:B, MATCH(B153, 'RTC table'!A:A, 0)),"" ))</f>
        <v>2.0011398065295865</v>
      </c>
      <c r="D153">
        <v>0.27100000000000002</v>
      </c>
      <c r="E153" s="3">
        <v>1.1000000000000001</v>
      </c>
    </row>
    <row r="154" spans="1:7" x14ac:dyDescent="0.4">
      <c r="A154" t="s">
        <v>459</v>
      </c>
      <c r="B154" s="37" t="s">
        <v>133</v>
      </c>
      <c r="C154" s="4">
        <f ca="1">IF(ISNUMBER(B154), B154, IFERROR(INDEX('RTC table'!B:B, MATCH(B154, 'RTC table'!A:A, 0)),"" ))</f>
        <v>0.60841213225289703</v>
      </c>
    </row>
    <row r="155" spans="1:7" x14ac:dyDescent="0.4">
      <c r="A155" t="s">
        <v>460</v>
      </c>
      <c r="B155" s="37" t="s">
        <v>133</v>
      </c>
      <c r="C155" s="4">
        <f ca="1">IF(ISNUMBER(B155), B155, IFERROR(INDEX('RTC table'!B:B, MATCH(B155, 'RTC table'!A:A, 0)),"" ))</f>
        <v>0.60841213225289703</v>
      </c>
    </row>
    <row r="156" spans="1:7" x14ac:dyDescent="0.4">
      <c r="A156" t="s">
        <v>253</v>
      </c>
      <c r="B156" t="s">
        <v>90</v>
      </c>
      <c r="C156" s="4">
        <f ca="1">IF(ISNUMBER(B156), B156, IFERROR(INDEX('RTC table'!B:B, MATCH(B156, 'RTC table'!A:A, 0)),"" ))</f>
        <v>6.635707117718284</v>
      </c>
    </row>
    <row r="157" spans="1:7" x14ac:dyDescent="0.4">
      <c r="A157" t="s">
        <v>323</v>
      </c>
      <c r="B157" t="s">
        <v>91</v>
      </c>
      <c r="C157" s="4">
        <f ca="1">IF(ISNUMBER(B157), B157, IFERROR(INDEX('RTC table'!B:B, MATCH(B157, 'RTC table'!A:A, 0)),"" ))</f>
        <v>53.870525525562421</v>
      </c>
    </row>
    <row r="158" spans="1:7" x14ac:dyDescent="0.4">
      <c r="A158" t="s">
        <v>324</v>
      </c>
      <c r="B158" t="s">
        <v>92</v>
      </c>
      <c r="C158" s="4">
        <f ca="1">IF(ISNUMBER(B158), B158, IFERROR(INDEX('RTC table'!B:B, MATCH(B158, 'RTC table'!A:A, 0)),"" ))</f>
        <v>46.202963206743192</v>
      </c>
    </row>
    <row r="159" spans="1:7" x14ac:dyDescent="0.4">
      <c r="A159" t="s">
        <v>254</v>
      </c>
      <c r="B159" t="s">
        <v>93</v>
      </c>
      <c r="C159" s="4">
        <f ca="1">IF(ISNUMBER(B159), B159, IFERROR(INDEX('RTC table'!B:B, MATCH(B159, 'RTC table'!A:A, 0)),"" ))</f>
        <v>18.076676089499724</v>
      </c>
    </row>
    <row r="160" spans="1:7" x14ac:dyDescent="0.4">
      <c r="A160" t="s">
        <v>255</v>
      </c>
      <c r="B160" t="s">
        <v>113</v>
      </c>
      <c r="C160" s="4">
        <f ca="1">IF(ISNUMBER(B160), B160, IFERROR(INDEX('RTC table'!B:B, MATCH(B160, 'RTC table'!A:A, 0)),"" ))</f>
        <v>3.5072099654441549</v>
      </c>
    </row>
    <row r="161" spans="1:3" x14ac:dyDescent="0.4">
      <c r="A161" t="s">
        <v>256</v>
      </c>
      <c r="B161" t="s">
        <v>94</v>
      </c>
      <c r="C161" s="4">
        <f ca="1">IF(ISNUMBER(B161), B161, IFERROR(INDEX('RTC table'!B:B, MATCH(B161, 'RTC table'!A:A, 0)),"" ))</f>
        <v>12.92288867549024</v>
      </c>
    </row>
    <row r="162" spans="1:3" x14ac:dyDescent="0.4">
      <c r="A162" t="s">
        <v>257</v>
      </c>
      <c r="B162" t="s">
        <v>95</v>
      </c>
      <c r="C162" s="4">
        <f ca="1">IF(ISNUMBER(B162), B162, IFERROR(INDEX('RTC table'!B:B, MATCH(B162, 'RTC table'!A:A, 0)),"" ))</f>
        <v>4.5198550963118347</v>
      </c>
    </row>
    <row r="163" spans="1:3" x14ac:dyDescent="0.4">
      <c r="A163" t="s">
        <v>258</v>
      </c>
      <c r="B163" t="s">
        <v>95</v>
      </c>
      <c r="C163" s="4">
        <f ca="1">IF(ISNUMBER(B163), B163, IFERROR(INDEX('RTC table'!B:B, MATCH(B163, 'RTC table'!A:A, 0)),"" ))</f>
        <v>4.5198550963118347</v>
      </c>
    </row>
    <row r="164" spans="1:3" x14ac:dyDescent="0.4">
      <c r="A164" t="s">
        <v>259</v>
      </c>
      <c r="B164" t="s">
        <v>96</v>
      </c>
      <c r="C164" s="4">
        <f ca="1">IF(ISNUMBER(B164), B164, IFERROR(INDEX('RTC table'!B:B, MATCH(B164, 'RTC table'!A:A, 0)),"" ))</f>
        <v>3.5017213739489375</v>
      </c>
    </row>
    <row r="165" spans="1:3" x14ac:dyDescent="0.4">
      <c r="A165" t="s">
        <v>260</v>
      </c>
      <c r="B165" t="s">
        <v>97</v>
      </c>
      <c r="C165" s="4">
        <f ca="1">IF(ISNUMBER(B165), B165, IFERROR(INDEX('RTC table'!B:B, MATCH(B165, 'RTC table'!A:A, 0)),"" ))</f>
        <v>3.3645065865684933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ToJson">
                <anchor moveWithCells="1" sizeWithCells="1">
                  <from>
                    <xdr:col>5</xdr:col>
                    <xdr:colOff>163286</xdr:colOff>
                    <xdr:row>2</xdr:row>
                    <xdr:rowOff>136071</xdr:rowOff>
                  </from>
                  <to>
                    <xdr:col>8</xdr:col>
                    <xdr:colOff>620486</xdr:colOff>
                    <xdr:row>4</xdr:row>
                    <xdr:rowOff>136071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FormatRTCTable">
                <anchor moveWithCells="1" sizeWithCells="1">
                  <from>
                    <xdr:col>5</xdr:col>
                    <xdr:colOff>152400</xdr:colOff>
                    <xdr:row>6</xdr:row>
                    <xdr:rowOff>0</xdr:rowOff>
                  </from>
                  <to>
                    <xdr:col>8</xdr:col>
                    <xdr:colOff>647700</xdr:colOff>
                    <xdr:row>8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84332-DCBA-4CD5-B78B-40D468386CD5}">
  <sheetPr codeName="Sheet4"/>
  <dimension ref="B1:I43"/>
  <sheetViews>
    <sheetView topLeftCell="A9" zoomScale="90" zoomScaleNormal="90" workbookViewId="0">
      <selection activeCell="M23" sqref="M23"/>
    </sheetView>
  </sheetViews>
  <sheetFormatPr defaultRowHeight="14.6" x14ac:dyDescent="0.4"/>
  <cols>
    <col min="2" max="2" width="25.69140625" customWidth="1"/>
    <col min="3" max="3" width="9.69140625" style="4" customWidth="1"/>
    <col min="4" max="4" width="25.69140625" customWidth="1"/>
    <col min="5" max="5" width="9.69140625" style="4" customWidth="1"/>
    <col min="6" max="6" width="25.69140625" customWidth="1"/>
    <col min="7" max="7" width="10.921875" style="38" customWidth="1"/>
    <col min="8" max="8" width="25.69140625" customWidth="1"/>
    <col min="9" max="9" width="10.921875" style="38" customWidth="1"/>
  </cols>
  <sheetData>
    <row r="1" spans="2:9" ht="15" thickBot="1" x14ac:dyDescent="0.45"/>
    <row r="2" spans="2:9" ht="15" thickTop="1" x14ac:dyDescent="0.4">
      <c r="B2" s="10" t="s">
        <v>333</v>
      </c>
      <c r="C2" s="28">
        <v>7.1</v>
      </c>
      <c r="D2" s="22" t="s">
        <v>372</v>
      </c>
      <c r="E2" s="32">
        <v>11.8</v>
      </c>
      <c r="F2" s="23" t="s">
        <v>387</v>
      </c>
      <c r="G2" s="45">
        <v>13.4</v>
      </c>
      <c r="H2" s="19" t="s">
        <v>417</v>
      </c>
      <c r="I2" s="39">
        <v>2.5</v>
      </c>
    </row>
    <row r="3" spans="2:9" x14ac:dyDescent="0.4">
      <c r="B3" s="11" t="s">
        <v>334</v>
      </c>
      <c r="C3" s="29">
        <v>6.6</v>
      </c>
      <c r="D3" s="12" t="s">
        <v>373</v>
      </c>
      <c r="E3" s="30">
        <v>11.8</v>
      </c>
      <c r="F3" s="16" t="s">
        <v>388</v>
      </c>
      <c r="G3" s="46">
        <v>11.1</v>
      </c>
      <c r="H3" s="17" t="s">
        <v>418</v>
      </c>
      <c r="I3" s="40">
        <v>2.8</v>
      </c>
    </row>
    <row r="4" spans="2:9" x14ac:dyDescent="0.4">
      <c r="B4" s="11" t="s">
        <v>335</v>
      </c>
      <c r="C4" s="29">
        <v>6.6</v>
      </c>
      <c r="D4" s="12" t="s">
        <v>374</v>
      </c>
      <c r="E4" s="30">
        <v>318.10000000000002</v>
      </c>
      <c r="F4" s="16" t="s">
        <v>389</v>
      </c>
      <c r="G4" s="46">
        <v>10422.700000000001</v>
      </c>
      <c r="H4" s="17" t="s">
        <v>419</v>
      </c>
      <c r="I4" s="40">
        <v>2.9</v>
      </c>
    </row>
    <row r="5" spans="2:9" x14ac:dyDescent="0.4">
      <c r="B5" s="11" t="s">
        <v>336</v>
      </c>
      <c r="C5" s="29">
        <v>7.4</v>
      </c>
      <c r="D5" s="12" t="s">
        <v>26</v>
      </c>
      <c r="E5" s="30">
        <v>27.8</v>
      </c>
      <c r="F5" s="16" t="s">
        <v>390</v>
      </c>
      <c r="G5" s="46">
        <v>5993.5</v>
      </c>
      <c r="H5" s="17" t="s">
        <v>420</v>
      </c>
      <c r="I5" s="40">
        <v>0.8</v>
      </c>
    </row>
    <row r="6" spans="2:9" x14ac:dyDescent="0.4">
      <c r="B6" s="11" t="s">
        <v>337</v>
      </c>
      <c r="C6" s="29">
        <v>7.6</v>
      </c>
      <c r="D6" s="12" t="s">
        <v>27</v>
      </c>
      <c r="E6" s="30">
        <v>7</v>
      </c>
      <c r="F6" s="16" t="s">
        <v>391</v>
      </c>
      <c r="G6" s="46">
        <v>2</v>
      </c>
      <c r="H6" s="17" t="s">
        <v>421</v>
      </c>
      <c r="I6" s="40">
        <v>0.9</v>
      </c>
    </row>
    <row r="7" spans="2:9" x14ac:dyDescent="0.4">
      <c r="B7" s="11" t="s">
        <v>338</v>
      </c>
      <c r="C7" s="29" t="s">
        <v>467</v>
      </c>
      <c r="D7" s="12" t="s">
        <v>375</v>
      </c>
      <c r="E7" s="30">
        <v>8.1999999999999993</v>
      </c>
      <c r="F7" s="16" t="s">
        <v>392</v>
      </c>
      <c r="G7" s="46">
        <v>2.9</v>
      </c>
      <c r="H7" s="17" t="s">
        <v>422</v>
      </c>
      <c r="I7" s="40">
        <v>1.1000000000000001</v>
      </c>
    </row>
    <row r="8" spans="2:9" x14ac:dyDescent="0.4">
      <c r="B8" s="11" t="s">
        <v>339</v>
      </c>
      <c r="C8" s="29" t="s">
        <v>467</v>
      </c>
      <c r="D8" s="12" t="s">
        <v>376</v>
      </c>
      <c r="E8" s="30">
        <v>5.6</v>
      </c>
      <c r="F8" s="16" t="s">
        <v>393</v>
      </c>
      <c r="G8" s="46" t="s">
        <v>467</v>
      </c>
      <c r="H8" s="17" t="s">
        <v>423</v>
      </c>
      <c r="I8" s="40">
        <v>1.2</v>
      </c>
    </row>
    <row r="9" spans="2:9" x14ac:dyDescent="0.4">
      <c r="B9" s="11" t="s">
        <v>340</v>
      </c>
      <c r="C9" s="29">
        <v>6.5</v>
      </c>
      <c r="D9" s="12" t="s">
        <v>377</v>
      </c>
      <c r="E9" s="30">
        <v>0.1</v>
      </c>
      <c r="F9" s="16" t="s">
        <v>394</v>
      </c>
      <c r="G9" s="46" t="s">
        <v>467</v>
      </c>
      <c r="H9" s="17" t="s">
        <v>424</v>
      </c>
      <c r="I9" s="40">
        <v>1</v>
      </c>
    </row>
    <row r="10" spans="2:9" x14ac:dyDescent="0.4">
      <c r="B10" s="11" t="s">
        <v>341</v>
      </c>
      <c r="C10" s="29">
        <v>8.1</v>
      </c>
      <c r="D10" s="12" t="s">
        <v>378</v>
      </c>
      <c r="E10" s="30">
        <v>0.1</v>
      </c>
      <c r="F10" s="16" t="s">
        <v>395</v>
      </c>
      <c r="G10" s="46">
        <v>0.8</v>
      </c>
      <c r="H10" s="17" t="s">
        <v>425</v>
      </c>
      <c r="I10" s="40">
        <v>1.1000000000000001</v>
      </c>
    </row>
    <row r="11" spans="2:9" x14ac:dyDescent="0.4">
      <c r="B11" s="11" t="s">
        <v>342</v>
      </c>
      <c r="C11" s="29">
        <v>7.4</v>
      </c>
      <c r="D11" s="12" t="s">
        <v>277</v>
      </c>
      <c r="E11" s="30">
        <v>0.1</v>
      </c>
      <c r="F11" s="16" t="s">
        <v>396</v>
      </c>
      <c r="G11" s="46">
        <v>0.5</v>
      </c>
      <c r="H11" s="17" t="s">
        <v>426</v>
      </c>
      <c r="I11" s="40">
        <v>1.1000000000000001</v>
      </c>
    </row>
    <row r="12" spans="2:9" x14ac:dyDescent="0.4">
      <c r="B12" s="11" t="s">
        <v>343</v>
      </c>
      <c r="C12" s="29">
        <v>7</v>
      </c>
      <c r="D12" s="13" t="s">
        <v>278</v>
      </c>
      <c r="E12" s="33" t="s">
        <v>467</v>
      </c>
      <c r="F12" s="16" t="s">
        <v>397</v>
      </c>
      <c r="G12" s="46">
        <v>0.7</v>
      </c>
      <c r="H12" s="20" t="s">
        <v>89</v>
      </c>
      <c r="I12" s="41">
        <v>0.6</v>
      </c>
    </row>
    <row r="13" spans="2:9" x14ac:dyDescent="0.4">
      <c r="B13" s="11" t="s">
        <v>344</v>
      </c>
      <c r="C13" s="29">
        <v>7.4</v>
      </c>
      <c r="D13" s="13" t="s">
        <v>279</v>
      </c>
      <c r="E13" s="33">
        <v>79.3</v>
      </c>
      <c r="F13" s="16" t="s">
        <v>398</v>
      </c>
      <c r="G13" s="46">
        <v>0.7</v>
      </c>
      <c r="H13" s="20" t="s">
        <v>427</v>
      </c>
      <c r="I13" s="41">
        <v>3.4</v>
      </c>
    </row>
    <row r="14" spans="2:9" x14ac:dyDescent="0.4">
      <c r="B14" s="11" t="s">
        <v>345</v>
      </c>
      <c r="C14" s="29">
        <v>7</v>
      </c>
      <c r="D14" s="13" t="s">
        <v>280</v>
      </c>
      <c r="E14" s="33">
        <v>27.7</v>
      </c>
      <c r="F14" s="16" t="s">
        <v>399</v>
      </c>
      <c r="G14" s="46">
        <v>2.9</v>
      </c>
      <c r="H14" s="20" t="s">
        <v>428</v>
      </c>
      <c r="I14" s="41">
        <v>3.5</v>
      </c>
    </row>
    <row r="15" spans="2:9" x14ac:dyDescent="0.4">
      <c r="B15" s="11" t="s">
        <v>346</v>
      </c>
      <c r="C15" s="29">
        <v>5.5</v>
      </c>
      <c r="D15" s="13" t="s">
        <v>281</v>
      </c>
      <c r="E15" s="33">
        <v>5000</v>
      </c>
      <c r="F15" s="16" t="s">
        <v>301</v>
      </c>
      <c r="G15" s="46">
        <v>0.6</v>
      </c>
      <c r="H15" s="20" t="s">
        <v>429</v>
      </c>
      <c r="I15" s="41">
        <v>10.1</v>
      </c>
    </row>
    <row r="16" spans="2:9" x14ac:dyDescent="0.4">
      <c r="B16" s="11" t="s">
        <v>347</v>
      </c>
      <c r="C16" s="29">
        <v>6.7</v>
      </c>
      <c r="D16" s="13" t="s">
        <v>282</v>
      </c>
      <c r="E16" s="33">
        <v>5000</v>
      </c>
      <c r="F16" s="16" t="s">
        <v>302</v>
      </c>
      <c r="G16" s="46">
        <v>0.6</v>
      </c>
      <c r="H16" s="20" t="s">
        <v>430</v>
      </c>
      <c r="I16" s="41">
        <v>6.7</v>
      </c>
    </row>
    <row r="17" spans="2:9" x14ac:dyDescent="0.4">
      <c r="B17" s="11" t="s">
        <v>348</v>
      </c>
      <c r="C17" s="29">
        <v>0.3</v>
      </c>
      <c r="D17" s="13" t="s">
        <v>283</v>
      </c>
      <c r="E17" s="33">
        <v>5</v>
      </c>
      <c r="F17" s="16" t="s">
        <v>400</v>
      </c>
      <c r="G17" s="46">
        <v>3</v>
      </c>
      <c r="H17" s="20" t="s">
        <v>431</v>
      </c>
      <c r="I17" s="41">
        <v>16.399999999999999</v>
      </c>
    </row>
    <row r="18" spans="2:9" x14ac:dyDescent="0.4">
      <c r="B18" s="11" t="s">
        <v>349</v>
      </c>
      <c r="C18" s="29">
        <v>0.3</v>
      </c>
      <c r="D18" s="13" t="s">
        <v>284</v>
      </c>
      <c r="E18" s="33">
        <v>5000</v>
      </c>
      <c r="F18" s="16" t="s">
        <v>401</v>
      </c>
      <c r="G18" s="46">
        <v>0.4</v>
      </c>
      <c r="H18" s="20" t="s">
        <v>432</v>
      </c>
      <c r="I18" s="41">
        <v>4.5999999999999996</v>
      </c>
    </row>
    <row r="19" spans="2:9" x14ac:dyDescent="0.4">
      <c r="B19" s="11" t="s">
        <v>350</v>
      </c>
      <c r="C19" s="29">
        <v>0.3</v>
      </c>
      <c r="D19" s="13" t="s">
        <v>285</v>
      </c>
      <c r="E19" s="33">
        <v>5000</v>
      </c>
      <c r="F19" s="16" t="s">
        <v>402</v>
      </c>
      <c r="G19" s="46">
        <v>5.0999999999999996</v>
      </c>
      <c r="H19" s="20" t="s">
        <v>433</v>
      </c>
      <c r="I19" s="41">
        <v>4.2</v>
      </c>
    </row>
    <row r="20" spans="2:9" x14ac:dyDescent="0.4">
      <c r="B20" s="12" t="s">
        <v>351</v>
      </c>
      <c r="C20" s="30" t="s">
        <v>467</v>
      </c>
      <c r="D20" s="13" t="s">
        <v>286</v>
      </c>
      <c r="E20" s="33">
        <v>0.1</v>
      </c>
      <c r="F20" s="16" t="s">
        <v>403</v>
      </c>
      <c r="G20" s="46">
        <v>11.4</v>
      </c>
      <c r="H20" s="20" t="s">
        <v>434</v>
      </c>
      <c r="I20" s="41">
        <v>3.4</v>
      </c>
    </row>
    <row r="21" spans="2:9" x14ac:dyDescent="0.4">
      <c r="B21" s="12" t="s">
        <v>10</v>
      </c>
      <c r="C21" s="30">
        <v>35.799999999999997</v>
      </c>
      <c r="D21" s="15" t="s">
        <v>287</v>
      </c>
      <c r="E21" s="34">
        <v>4</v>
      </c>
      <c r="F21" s="16" t="s">
        <v>307</v>
      </c>
      <c r="G21" s="46">
        <v>1.1000000000000001</v>
      </c>
      <c r="H21" s="20" t="s">
        <v>435</v>
      </c>
      <c r="I21" s="41" t="s">
        <v>505</v>
      </c>
    </row>
    <row r="22" spans="2:9" x14ac:dyDescent="0.4">
      <c r="B22" s="12" t="s">
        <v>352</v>
      </c>
      <c r="C22" s="30" t="s">
        <v>467</v>
      </c>
      <c r="D22" s="15" t="s">
        <v>288</v>
      </c>
      <c r="E22" s="34">
        <v>4</v>
      </c>
      <c r="F22" s="17" t="s">
        <v>329</v>
      </c>
      <c r="G22" s="40">
        <v>1</v>
      </c>
      <c r="H22" s="20" t="s">
        <v>436</v>
      </c>
      <c r="I22" s="41">
        <v>3.7</v>
      </c>
    </row>
    <row r="23" spans="2:9" x14ac:dyDescent="0.4">
      <c r="B23" s="12" t="s">
        <v>11</v>
      </c>
      <c r="C23" s="30">
        <v>39.5</v>
      </c>
      <c r="D23" s="15" t="s">
        <v>289</v>
      </c>
      <c r="E23" s="34">
        <v>4</v>
      </c>
      <c r="F23" s="17" t="s">
        <v>404</v>
      </c>
      <c r="G23" s="40">
        <v>1</v>
      </c>
      <c r="H23" s="20" t="s">
        <v>437</v>
      </c>
      <c r="I23" s="41">
        <v>2.8</v>
      </c>
    </row>
    <row r="24" spans="2:9" x14ac:dyDescent="0.4">
      <c r="B24" s="12" t="s">
        <v>353</v>
      </c>
      <c r="C24" s="30">
        <v>304.89999999999998</v>
      </c>
      <c r="D24" s="15" t="s">
        <v>290</v>
      </c>
      <c r="E24" s="34">
        <v>4</v>
      </c>
      <c r="F24" s="17" t="s">
        <v>405</v>
      </c>
      <c r="G24" s="40">
        <v>1</v>
      </c>
      <c r="H24" s="20" t="s">
        <v>438</v>
      </c>
      <c r="I24" s="41" t="s">
        <v>506</v>
      </c>
    </row>
    <row r="25" spans="2:9" x14ac:dyDescent="0.4">
      <c r="B25" s="12" t="s">
        <v>354</v>
      </c>
      <c r="C25" s="30">
        <v>312</v>
      </c>
      <c r="D25" s="15" t="s">
        <v>379</v>
      </c>
      <c r="E25" s="34">
        <v>4</v>
      </c>
      <c r="F25" s="17" t="s">
        <v>406</v>
      </c>
      <c r="G25" s="40">
        <v>1</v>
      </c>
      <c r="H25" s="20" t="s">
        <v>439</v>
      </c>
      <c r="I25" s="41">
        <v>2</v>
      </c>
    </row>
    <row r="26" spans="2:9" x14ac:dyDescent="0.4">
      <c r="B26" s="12" t="s">
        <v>355</v>
      </c>
      <c r="C26" s="30">
        <v>14.6</v>
      </c>
      <c r="D26" s="15" t="s">
        <v>380</v>
      </c>
      <c r="E26" s="34">
        <v>4</v>
      </c>
      <c r="F26" s="17" t="s">
        <v>407</v>
      </c>
      <c r="G26" s="40">
        <v>1.3</v>
      </c>
      <c r="H26" s="20" t="s">
        <v>440</v>
      </c>
      <c r="I26" s="41" t="s">
        <v>507</v>
      </c>
    </row>
    <row r="27" spans="2:9" x14ac:dyDescent="0.4">
      <c r="B27" s="12" t="s">
        <v>356</v>
      </c>
      <c r="C27" s="30" t="s">
        <v>467</v>
      </c>
      <c r="D27" s="15" t="s">
        <v>381</v>
      </c>
      <c r="E27" s="34">
        <v>4</v>
      </c>
      <c r="F27" s="17" t="s">
        <v>408</v>
      </c>
      <c r="G27" s="40">
        <v>1</v>
      </c>
      <c r="H27" s="20" t="s">
        <v>441</v>
      </c>
      <c r="I27" s="41">
        <v>7.1</v>
      </c>
    </row>
    <row r="28" spans="2:9" x14ac:dyDescent="0.4">
      <c r="B28" s="12" t="s">
        <v>357</v>
      </c>
      <c r="C28" s="30">
        <v>20.100000000000001</v>
      </c>
      <c r="D28" s="15" t="s">
        <v>101</v>
      </c>
      <c r="E28" s="34">
        <v>15.9</v>
      </c>
      <c r="F28" s="17" t="s">
        <v>409</v>
      </c>
      <c r="G28" s="40">
        <v>1</v>
      </c>
      <c r="H28" s="20" t="s">
        <v>442</v>
      </c>
      <c r="I28" s="41">
        <v>6.7</v>
      </c>
    </row>
    <row r="29" spans="2:9" x14ac:dyDescent="0.4">
      <c r="B29" s="12" t="s">
        <v>358</v>
      </c>
      <c r="C29" s="30">
        <v>23.8</v>
      </c>
      <c r="D29" s="15" t="s">
        <v>382</v>
      </c>
      <c r="E29" s="34" t="s">
        <v>467</v>
      </c>
      <c r="F29" s="17" t="s">
        <v>410</v>
      </c>
      <c r="G29" s="40">
        <v>1</v>
      </c>
      <c r="H29" s="21" t="s">
        <v>443</v>
      </c>
      <c r="I29" s="42">
        <v>7.7</v>
      </c>
    </row>
    <row r="30" spans="2:9" x14ac:dyDescent="0.4">
      <c r="B30" s="12" t="s">
        <v>359</v>
      </c>
      <c r="C30" s="30">
        <v>13.2</v>
      </c>
      <c r="D30" s="27" t="s">
        <v>383</v>
      </c>
      <c r="E30" s="35" t="s">
        <v>467</v>
      </c>
      <c r="F30" s="17" t="s">
        <v>50</v>
      </c>
      <c r="G30" s="40">
        <v>0.5</v>
      </c>
      <c r="H30" s="21" t="s">
        <v>444</v>
      </c>
      <c r="I30" s="42" t="s">
        <v>508</v>
      </c>
    </row>
    <row r="31" spans="2:9" x14ac:dyDescent="0.4">
      <c r="B31" s="12" t="s">
        <v>360</v>
      </c>
      <c r="C31" s="30">
        <v>17.399999999999999</v>
      </c>
      <c r="D31" s="27" t="s">
        <v>30</v>
      </c>
      <c r="E31" s="35">
        <v>6.3</v>
      </c>
      <c r="F31" s="17" t="s">
        <v>51</v>
      </c>
      <c r="G31" s="40">
        <v>0.5</v>
      </c>
      <c r="H31" s="21" t="s">
        <v>461</v>
      </c>
      <c r="I31" s="42">
        <v>0.6</v>
      </c>
    </row>
    <row r="32" spans="2:9" x14ac:dyDescent="0.4">
      <c r="B32" s="12" t="s">
        <v>361</v>
      </c>
      <c r="C32" s="30">
        <v>17.399999999999999</v>
      </c>
      <c r="D32" s="27" t="s">
        <v>384</v>
      </c>
      <c r="E32" s="35">
        <v>6.3</v>
      </c>
      <c r="F32" s="17" t="s">
        <v>52</v>
      </c>
      <c r="G32" s="40">
        <v>0.4</v>
      </c>
      <c r="H32" s="21" t="s">
        <v>462</v>
      </c>
      <c r="I32" s="42">
        <v>0.6</v>
      </c>
    </row>
    <row r="33" spans="2:9" x14ac:dyDescent="0.4">
      <c r="B33" s="12" t="s">
        <v>362</v>
      </c>
      <c r="C33" s="30">
        <v>349</v>
      </c>
      <c r="D33" s="27" t="s">
        <v>31</v>
      </c>
      <c r="E33" s="35">
        <v>1.8</v>
      </c>
      <c r="F33" s="17" t="s">
        <v>53</v>
      </c>
      <c r="G33" s="40">
        <v>0.7</v>
      </c>
      <c r="H33" s="14" t="s">
        <v>445</v>
      </c>
      <c r="I33" s="43">
        <v>6.6</v>
      </c>
    </row>
    <row r="34" spans="2:9" x14ac:dyDescent="0.4">
      <c r="B34" s="12" t="s">
        <v>363</v>
      </c>
      <c r="C34" s="30">
        <v>349</v>
      </c>
      <c r="D34" s="27" t="s">
        <v>32</v>
      </c>
      <c r="E34" s="35">
        <v>4.9000000000000004</v>
      </c>
      <c r="F34" s="17" t="s">
        <v>54</v>
      </c>
      <c r="G34" s="40">
        <v>0.6</v>
      </c>
      <c r="H34" s="14" t="s">
        <v>446</v>
      </c>
      <c r="I34" s="43">
        <v>53.9</v>
      </c>
    </row>
    <row r="35" spans="2:9" x14ac:dyDescent="0.4">
      <c r="B35" s="12" t="s">
        <v>364</v>
      </c>
      <c r="C35" s="30">
        <v>336.2</v>
      </c>
      <c r="D35" s="27" t="s">
        <v>33</v>
      </c>
      <c r="E35" s="35">
        <v>2.6</v>
      </c>
      <c r="F35" s="17" t="s">
        <v>411</v>
      </c>
      <c r="G35" s="40">
        <v>0.5</v>
      </c>
      <c r="H35" s="14" t="s">
        <v>447</v>
      </c>
      <c r="I35" s="43">
        <v>46.2</v>
      </c>
    </row>
    <row r="36" spans="2:9" x14ac:dyDescent="0.4">
      <c r="B36" s="12" t="s">
        <v>365</v>
      </c>
      <c r="C36" s="30">
        <v>336.2</v>
      </c>
      <c r="D36" s="27" t="s">
        <v>34</v>
      </c>
      <c r="E36" s="35">
        <v>2.8</v>
      </c>
      <c r="F36" s="17" t="s">
        <v>412</v>
      </c>
      <c r="G36" s="40" t="s">
        <v>504</v>
      </c>
      <c r="H36" s="14" t="s">
        <v>448</v>
      </c>
      <c r="I36" s="43">
        <v>18.100000000000001</v>
      </c>
    </row>
    <row r="37" spans="2:9" x14ac:dyDescent="0.4">
      <c r="B37" s="12" t="s">
        <v>366</v>
      </c>
      <c r="C37" s="30">
        <v>165.6</v>
      </c>
      <c r="D37" s="27" t="s">
        <v>291</v>
      </c>
      <c r="E37" s="35">
        <v>7.7</v>
      </c>
      <c r="F37" s="17" t="s">
        <v>57</v>
      </c>
      <c r="G37" s="40">
        <v>1.4</v>
      </c>
      <c r="H37" s="14" t="s">
        <v>449</v>
      </c>
      <c r="I37" s="43">
        <v>3.5</v>
      </c>
    </row>
    <row r="38" spans="2:9" x14ac:dyDescent="0.4">
      <c r="B38" s="12" t="s">
        <v>367</v>
      </c>
      <c r="C38" s="30">
        <v>165.6</v>
      </c>
      <c r="D38" s="27" t="s">
        <v>385</v>
      </c>
      <c r="E38" s="35" t="s">
        <v>467</v>
      </c>
      <c r="F38" s="17" t="s">
        <v>58</v>
      </c>
      <c r="G38" s="40">
        <v>0.5</v>
      </c>
      <c r="H38" s="14" t="s">
        <v>450</v>
      </c>
      <c r="I38" s="43">
        <v>12.9</v>
      </c>
    </row>
    <row r="39" spans="2:9" x14ac:dyDescent="0.4">
      <c r="B39" s="12" t="s">
        <v>368</v>
      </c>
      <c r="C39" s="30">
        <v>187.2</v>
      </c>
      <c r="D39" s="27" t="s">
        <v>456</v>
      </c>
      <c r="E39" s="35">
        <v>4</v>
      </c>
      <c r="F39" s="17" t="s">
        <v>413</v>
      </c>
      <c r="G39" s="40">
        <v>0.8</v>
      </c>
      <c r="H39" s="14" t="s">
        <v>451</v>
      </c>
      <c r="I39" s="43">
        <v>4.5</v>
      </c>
    </row>
    <row r="40" spans="2:9" x14ac:dyDescent="0.4">
      <c r="B40" s="12" t="s">
        <v>369</v>
      </c>
      <c r="C40" s="30">
        <v>187.2</v>
      </c>
      <c r="D40" s="27" t="s">
        <v>457</v>
      </c>
      <c r="E40" s="35">
        <v>79</v>
      </c>
      <c r="F40" s="17" t="s">
        <v>414</v>
      </c>
      <c r="G40" s="40">
        <v>0.7</v>
      </c>
      <c r="H40" s="14" t="s">
        <v>452</v>
      </c>
      <c r="I40" s="43">
        <v>4.5</v>
      </c>
    </row>
    <row r="41" spans="2:9" x14ac:dyDescent="0.4">
      <c r="B41" s="12" t="s">
        <v>370</v>
      </c>
      <c r="C41" s="30">
        <v>12.8</v>
      </c>
      <c r="D41" s="27" t="s">
        <v>458</v>
      </c>
      <c r="E41" s="35">
        <v>2</v>
      </c>
      <c r="F41" s="17" t="s">
        <v>415</v>
      </c>
      <c r="G41" s="40">
        <v>0.8</v>
      </c>
      <c r="H41" s="14" t="s">
        <v>453</v>
      </c>
      <c r="I41" s="43">
        <v>3.5</v>
      </c>
    </row>
    <row r="42" spans="2:9" ht="15" thickBot="1" x14ac:dyDescent="0.45">
      <c r="B42" s="24" t="s">
        <v>371</v>
      </c>
      <c r="C42" s="31">
        <v>12.8</v>
      </c>
      <c r="D42" s="25" t="s">
        <v>386</v>
      </c>
      <c r="E42" s="36">
        <v>17.399999999999999</v>
      </c>
      <c r="F42" s="18" t="s">
        <v>416</v>
      </c>
      <c r="G42" s="47">
        <v>0.8</v>
      </c>
      <c r="H42" s="26" t="s">
        <v>454</v>
      </c>
      <c r="I42" s="44">
        <v>3.4</v>
      </c>
    </row>
    <row r="43" spans="2:9" ht="15" thickTop="1" x14ac:dyDescent="0.4"/>
  </sheetData>
  <pageMargins left="0.70866141732283472" right="0.70866141732283472" top="0.74803149606299213" bottom="0.74803149606299213" header="0.31496062992125984" footer="0.31496062992125984"/>
  <pageSetup paperSize="8" scale="120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Data Collected</vt:lpstr>
      <vt:lpstr>RTC table</vt:lpstr>
      <vt:lpstr>O(N) ops</vt:lpstr>
      <vt:lpstr>RTC table (opcode)</vt:lpstr>
      <vt:lpstr>RTC table (formatted)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Clinton</dc:creator>
  <cp:lastModifiedBy>Joe Clinton</cp:lastModifiedBy>
  <cp:lastPrinted>2024-10-15T00:37:38Z</cp:lastPrinted>
  <dcterms:created xsi:type="dcterms:W3CDTF">2015-06-05T18:17:20Z</dcterms:created>
  <dcterms:modified xsi:type="dcterms:W3CDTF">2024-12-04T13:14:08Z</dcterms:modified>
</cp:coreProperties>
</file>